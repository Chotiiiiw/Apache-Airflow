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538f78f89e47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080519147aff41bb"/>
    <x:sheet xmlns:r="http://schemas.openxmlformats.org/officeDocument/2006/relationships" name="Applications" sheetId="2" r:id="R35a052f9b56146f2"/>
    <x:sheet xmlns:r="http://schemas.openxmlformats.org/officeDocument/2006/relationships" name="Company Targets" sheetId="3" r:id="Rc6a3dc79f1354475"/>
    <x:sheet xmlns:r="http://schemas.openxmlformats.org/officeDocument/2006/relationships" name="Contacts" sheetId="4" r:id="R4d3507235c8246b9"/>
    <x:sheet xmlns:r="http://schemas.openxmlformats.org/officeDocument/2006/relationships" name="Lookups" sheetId="5" r:id="Rd881e9a682ac49fd"/>
    <x:sheet xmlns:r="http://schemas.openxmlformats.org/officeDocument/2006/relationships" name="README" sheetId="6" r:id="Rc24c6f2a6dd747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0"/>
    <x:numFmt numFmtId="202" formatCode="0.0"/>
    <x:numFmt numFmtId="203" formatCode="0%"/>
  </x:numFmts>
  <x:fonts count="25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sz val="11"/>
      <x:color rgb="FF1F2933"/>
      <x:name val="Carlito"/>
    </x:font>
    <x:font>
      <x:sz val="10"/>
      <x:color rgb="FF1F2933"/>
      <x:name val="Carlito"/>
    </x:font>
    <x:font>
      <x:b/>
      <x:sz val="18"/>
      <x:color rgb="FFFFFFFF"/>
      <x:name val="Carlito"/>
    </x:font>
    <x:font>
      <x:sz val="11"/>
      <x:color rgb="FFDDE7F0"/>
      <x:name val="Carlito"/>
    </x:font>
    <x:font>
      <x:sz val="10"/>
      <x:color rgb="FFDDE7F0"/>
      <x:name val="Carlito"/>
    </x:font>
    <x:font>
      <x:sz val="10"/>
      <x:color rgb="FF2563EB"/>
      <x:name val="Carlito"/>
    </x:font>
    <x:font>
      <x:sz val="11"/>
      <x:color rgb="FF243B53"/>
      <x:name val="Carlito"/>
    </x:font>
    <x:font>
      <x:b/>
      <x:sz val="20"/>
      <x:color rgb="FFFFFFFF"/>
      <x:name val="Carlito"/>
    </x:font>
    <x:font>
      <x:b/>
      <x:sz val="11"/>
      <x:name val="Carlito"/>
    </x:font>
    <x:font>
      <x:b/>
      <x:sz val="11"/>
      <x:color rgb="FF667085"/>
      <x:name val="Carlito"/>
    </x:font>
    <x:font>
      <x:sz val="24"/>
      <x:name val="Carlito"/>
    </x:font>
    <x:font>
      <x:b/>
      <x:sz val="24"/>
      <x:name val="Carlito"/>
    </x:font>
    <x:font>
      <x:b/>
      <x:sz val="20"/>
      <x:color rgb="FFFFFFFF"/>
      <x:name val="Aptos"/>
    </x:font>
    <x:font>
      <x:sz val="10"/>
      <x:color rgb="FFDDE7F0"/>
      <x:name val="Aptos"/>
    </x:font>
    <x:font>
      <x:sz val="11"/>
      <x:name val="Aptos"/>
    </x:font>
    <x:font>
      <x:b/>
      <x:sz val="11"/>
      <x:color rgb="FF667085"/>
      <x:name val="Aptos"/>
    </x:font>
    <x:font>
      <x:b/>
      <x:sz val="24"/>
      <x:name val="Aptos"/>
    </x:font>
    <x:font>
      <x:b/>
      <x:sz val="11"/>
      <x:color rgb="FFFFFFFF"/>
      <x:name val="Aptos"/>
    </x:font>
    <x:font>
      <x:sz val="10"/>
      <x:color rgb="FF1F2933"/>
      <x:name val="Aptos"/>
    </x:font>
    <x:font>
      <x:b/>
      <x:sz val="18"/>
      <x:color rgb="FFFFFFFF"/>
      <x:name val="Aptos"/>
    </x:font>
    <x:font>
      <x:sz val="11"/>
      <x:color rgb="FF243B53"/>
      <x:name val="Aptos"/>
    </x:font>
    <x:font>
      <x:sz val="10"/>
      <x:color rgb="FF2563EB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243B53"/>
      </x:patternFill>
    </x:fill>
    <x:fill>
      <x:patternFill patternType="solid">
        <x:fgColor rgb="FFEAF2FF"/>
      </x:patternFill>
    </x:fill>
    <x:fill>
      <x:patternFill patternType="solid">
        <x:fgColor rgb="FFFFFFFF"/>
      </x:patternFill>
    </x:fill>
  </x:fills>
  <x:borders count="21">
    <x:border/>
    <x:border>
      <x:left style="thin">
        <x:color rgb="FF0F766E"/>
      </x:left>
      <x:top style="thin">
        <x:color rgb="FF0F766E"/>
      </x:top>
      <x:bottom style="thin">
        <x:color rgb="FF0F766E"/>
      </x:bottom>
    </x:border>
    <x:border>
      <x:top style="thin">
        <x:color rgb="FF0F766E"/>
      </x:top>
      <x:bottom style="thin">
        <x:color rgb="FF0F766E"/>
      </x:bottom>
    </x:border>
    <x:border>
      <x:right style="thin">
        <x:color rgb="FF0F766E"/>
      </x:right>
      <x:top style="thin">
        <x:color rgb="FF0F766E"/>
      </x:top>
      <x:bottom style="thin">
        <x:color rgb="FF0F766E"/>
      </x:bottom>
    </x:border>
    <x:border>
      <x:right style="thin">
        <x:color rgb="FFEEF2F7"/>
      </x:right>
      <x:bottom style="thin">
        <x:color rgb="FFE5E7EB"/>
      </x:bottom>
    </x:border>
    <x:border>
      <x:left style="thin">
        <x:color rgb="FFEEF2F7"/>
      </x:left>
      <x:right style="thin">
        <x:color rgb="FFEEF2F7"/>
      </x:right>
      <x:bottom style="thin">
        <x:color rgb="FFE5E7EB"/>
      </x:bottom>
    </x:border>
    <x:border>
      <x:left style="thin">
        <x:color rgb="FFEEF2F7"/>
      </x:left>
      <x:bottom style="thin">
        <x:color rgb="FFE5E7EB"/>
      </x:bottom>
    </x:border>
    <x:border>
      <x:right style="thin">
        <x:color rgb="FFEEF2F7"/>
      </x:right>
      <x:top style="thin">
        <x:color rgb="FFE5E7EB"/>
      </x:top>
      <x:bottom style="thin">
        <x:color rgb="FFE5E7EB"/>
      </x:bottom>
    </x:border>
    <x:border>
      <x:left style="thin">
        <x:color rgb="FFEEF2F7"/>
      </x:left>
      <x:right style="thin">
        <x:color rgb="FFEEF2F7"/>
      </x:right>
      <x:top style="thin">
        <x:color rgb="FFE5E7EB"/>
      </x:top>
      <x:bottom style="thin">
        <x:color rgb="FFE5E7EB"/>
      </x:bottom>
    </x:border>
    <x:border>
      <x:left style="thin">
        <x:color rgb="FFEEF2F7"/>
      </x:left>
      <x:top style="thin">
        <x:color rgb="FFE5E7EB"/>
      </x:top>
      <x:bottom style="thin">
        <x:color rgb="FFE5E7EB"/>
      </x:bottom>
    </x:border>
    <x:border>
      <x:right style="thin">
        <x:color rgb="FFEEF2F7"/>
      </x:right>
      <x:top style="thin">
        <x:color rgb="FFE5E7EB"/>
      </x:top>
      <x:bottom style="thin">
        <x:color rgb="FFD9E2EC"/>
      </x:bottom>
    </x:border>
    <x:border>
      <x:left style="thin">
        <x:color rgb="FFEEF2F7"/>
      </x:left>
      <x:right style="thin">
        <x:color rgb="FFEEF2F7"/>
      </x:right>
      <x:top style="thin">
        <x:color rgb="FFE5E7EB"/>
      </x:top>
      <x:bottom style="thin">
        <x:color rgb="FFD9E2EC"/>
      </x:bottom>
    </x:border>
    <x:border>
      <x:left style="thin">
        <x:color rgb="FFEEF2F7"/>
      </x:left>
      <x:top style="thin">
        <x:color rgb="FFE5E7EB"/>
      </x:top>
      <x:bottom style="thin">
        <x:color rgb="FFD9E2EC"/>
      </x:bottom>
    </x:border>
    <x:border>
      <x:left style="thin">
        <x:color rgb="FFD9E2EC"/>
      </x:left>
      <x:top style="thin">
        <x:color rgb="FFD9E2EC"/>
      </x:top>
    </x:border>
    <x:border>
      <x:top style="thin">
        <x:color rgb="FFD9E2EC"/>
      </x:top>
    </x:border>
    <x:border>
      <x:right style="thin">
        <x:color rgb="FFD9E2EC"/>
      </x:right>
      <x:top style="thin">
        <x:color rgb="FFD9E2EC"/>
      </x:top>
    </x:border>
    <x:border>
      <x:left style="thin">
        <x:color rgb="FFD9E2EC"/>
      </x:left>
    </x:border>
    <x:border>
      <x:right style="thin">
        <x:color rgb="FFD9E2EC"/>
      </x:right>
    </x:border>
    <x:border>
      <x:left style="thin">
        <x:color rgb="FFD9E2EC"/>
      </x:left>
      <x:bottom style="thin">
        <x:color rgb="FFD9E2EC"/>
      </x:bottom>
    </x:border>
    <x:border>
      <x:bottom style="thin">
        <x:color rgb="FFD9E2EC"/>
      </x:bottom>
    </x:border>
    <x:border>
      <x:right style="thin">
        <x:color rgb="FFD9E2EC"/>
      </x:right>
      <x:bottom style="thin">
        <x:color rgb="FFD9E2EC"/>
      </x:bottom>
    </x:border>
  </x:borders>
  <x:cellStyleXfs count="1">
    <x:xf numFmtId="0" fontId="0" fillId="0" borderId="0"/>
  </x:cellStyleXfs>
  <x:cellXfs count="19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3" fillId="0" borderId="4" xfId="0" applyNumberFormat="1" applyFont="1" applyFill="1" applyBorder="1"/>
    <x:xf numFmtId="0" fontId="3" fillId="0" borderId="5" xfId="0" applyNumberFormat="1" applyFont="1" applyFill="1" applyBorder="1"/>
    <x:xf numFmtId="0" fontId="3" fillId="0" borderId="6" xfId="0" applyNumberFormat="1" applyFont="1" applyFill="1" applyBorder="1"/>
    <x:xf numFmtId="0" fontId="3" fillId="0" borderId="7" xfId="0" applyNumberFormat="1" applyFont="1" applyFill="1" applyBorder="1"/>
    <x:xf numFmtId="0" fontId="3" fillId="0" borderId="8" xfId="0" applyNumberFormat="1" applyFont="1" applyFill="1" applyBorder="1"/>
    <x:xf numFmtId="0" fontId="3" fillId="0" borderId="9" xfId="0" applyNumberFormat="1" applyFont="1" applyFill="1" applyBorder="1"/>
    <x:xf numFmtId="0" fontId="3" fillId="0" borderId="10" xfId="0" applyNumberFormat="1" applyFont="1" applyFill="1" applyBorder="1"/>
    <x:xf numFmtId="0" fontId="3" fillId="0" borderId="11" xfId="0" applyNumberFormat="1" applyFont="1" applyFill="1" applyBorder="1"/>
    <x:xf numFmtId="0" fontId="3" fillId="0" borderId="12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10" xfId="0" applyNumberFormat="1" applyFont="1" applyFill="1" applyBorder="1"/>
    <x:xf numFmtId="0" fontId="4" fillId="0" borderId="11" xfId="0" applyNumberFormat="1" applyFont="1" applyFill="1" applyBorder="1"/>
    <x:xf numFmtId="0" fontId="4" fillId="0" borderId="12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2" fillId="3" borderId="0" xfId="0" applyNumberFormat="1" applyFont="1" applyFill="1" applyBorder="1"/>
    <x:xf numFmtId="0" fontId="5" fillId="3" borderId="0" xfId="0" applyNumberFormat="1" applyFont="1" applyFill="1" applyBorder="1"/>
    <x:xf numFmtId="0" fontId="6" fillId="3" borderId="0" xfId="0" applyNumberFormat="1" applyFont="1" applyFill="1" applyBorder="1"/>
    <x:xf numFmtId="0" fontId="7" fillId="3" borderId="0" xfId="0" applyNumberFormat="1" applyFont="1" applyFill="1" applyBorder="1"/>
    <x:xf numFmtId="200" fontId="4" fillId="0" borderId="5" xfId="0" applyNumberFormat="1" applyFont="1" applyFill="1" applyBorder="1"/>
    <x:xf numFmtId="200" fontId="4" fillId="0" borderId="8" xfId="0" applyNumberFormat="1" applyFont="1" applyFill="1" applyBorder="1"/>
    <x:xf numFmtId="200" fontId="4" fillId="0" borderId="11" xfId="0" applyNumberFormat="1" applyFont="1" applyFill="1" applyBorder="1"/>
    <x:xf numFmtId="201" fontId="4" fillId="0" borderId="5" xfId="0" applyNumberFormat="1" applyFont="1" applyFill="1" applyBorder="1"/>
    <x:xf numFmtId="201" fontId="4" fillId="0" borderId="8" xfId="0" applyNumberFormat="1" applyFont="1" applyFill="1" applyBorder="1"/>
    <x:xf numFmtId="201" fontId="4" fillId="0" borderId="11" xfId="0" applyNumberFormat="1" applyFont="1" applyFill="1" applyBorder="1"/>
    <x:xf numFmtId="0" fontId="8" fillId="0" borderId="5" xfId="0" applyNumberFormat="1" applyFont="1" applyFill="1" applyBorder="1"/>
    <x:xf numFmtId="0" fontId="8" fillId="0" borderId="8" xfId="0" applyNumberFormat="1" applyFont="1" applyFill="1" applyBorder="1"/>
    <x:xf numFmtId="0" fontId="8" fillId="0" borderId="11" xfId="0" applyNumberFormat="1" applyFont="1" applyFill="1" applyBorder="1"/>
    <x:xf numFmtId="0" fontId="4" fillId="0" borderId="6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12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9" fillId="4" borderId="0" xfId="0" applyNumberFormat="1" applyFont="1" applyFill="1" applyBorder="1"/>
    <x:xf numFmtId="0" fontId="4" fillId="0" borderId="5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11" xfId="0" applyNumberFormat="1" applyFont="1" applyFill="1" applyBorder="1" applyAlignment="1">
      <x:alignment wrapText="1"/>
    </x:xf>
    <x:xf numFmtId="0" fontId="10" fillId="3" borderId="0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0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5" borderId="13" xfId="0" applyNumberFormat="1" applyFont="1" applyFill="1" applyBorder="1"/>
    <x:xf numFmtId="0" fontId="0" fillId="5" borderId="14" xfId="0" applyNumberFormat="1" applyFont="1" applyFill="1" applyBorder="1"/>
    <x:xf numFmtId="0" fontId="0" fillId="5" borderId="16" xfId="0" applyNumberFormat="1" applyFont="1" applyFill="1" applyBorder="1"/>
    <x:xf numFmtId="0" fontId="0" fillId="5" borderId="0" xfId="0" applyNumberFormat="1" applyFont="1" applyFill="1" applyBorder="1"/>
    <x:xf numFmtId="0" fontId="0" fillId="5" borderId="18" xfId="0" applyNumberFormat="1" applyFont="1" applyFill="1" applyBorder="1"/>
    <x:xf numFmtId="0" fontId="0" fillId="5" borderId="19" xfId="0" applyNumberFormat="1" applyFont="1" applyFill="1" applyBorder="1"/>
    <x:xf numFmtId="0" fontId="0" fillId="5" borderId="15" xfId="0" applyNumberFormat="1" applyFont="1" applyFill="1" applyBorder="1"/>
    <x:xf numFmtId="0" fontId="0" fillId="5" borderId="17" xfId="0" applyNumberFormat="1" applyFont="1" applyFill="1" applyBorder="1"/>
    <x:xf numFmtId="0" fontId="0" fillId="5" borderId="20" xfId="0" applyNumberFormat="1" applyFont="1" applyFill="1" applyBorder="1"/>
    <x:xf numFmtId="0" fontId="11" fillId="5" borderId="13" xfId="0" applyNumberFormat="1" applyFont="1" applyFill="1" applyBorder="1"/>
    <x:xf numFmtId="0" fontId="11" fillId="5" borderId="15" xfId="0" applyNumberFormat="1" applyFont="1" applyFill="1" applyBorder="1"/>
    <x:xf numFmtId="0" fontId="11" fillId="0" borderId="14" xfId="0" applyNumberFormat="1" applyFont="1" applyFill="1" applyBorder="1"/>
    <x:xf numFmtId="0" fontId="12" fillId="5" borderId="13" xfId="0" applyNumberFormat="1" applyFont="1" applyFill="1" applyBorder="1"/>
    <x:xf numFmtId="0" fontId="12" fillId="5" borderId="15" xfId="0" applyNumberFormat="1" applyFont="1" applyFill="1" applyBorder="1"/>
    <x:xf numFmtId="0" fontId="12" fillId="0" borderId="14" xfId="0" applyNumberFormat="1" applyFont="1" applyFill="1" applyBorder="1"/>
    <x:xf numFmtId="0" fontId="13" fillId="5" borderId="16" xfId="0" applyNumberFormat="1" applyFont="1" applyFill="1" applyBorder="1"/>
    <x:xf numFmtId="0" fontId="13" fillId="5" borderId="17" xfId="0" applyNumberFormat="1" applyFont="1" applyFill="1" applyBorder="1"/>
    <x:xf numFmtId="0" fontId="13" fillId="0" borderId="0" xfId="0" applyNumberFormat="1" applyFont="1" applyFill="1" applyBorder="1"/>
    <x:xf numFmtId="0" fontId="13" fillId="5" borderId="18" xfId="0" applyNumberFormat="1" applyFont="1" applyFill="1" applyBorder="1"/>
    <x:xf numFmtId="0" fontId="13" fillId="5" borderId="20" xfId="0" applyNumberFormat="1" applyFont="1" applyFill="1" applyBorder="1"/>
    <x:xf numFmtId="0" fontId="13" fillId="0" borderId="19" xfId="0" applyNumberFormat="1" applyFont="1" applyFill="1" applyBorder="1"/>
    <x:xf numFmtId="0" fontId="14" fillId="5" borderId="16" xfId="0" applyNumberFormat="1" applyFont="1" applyFill="1" applyBorder="1"/>
    <x:xf numFmtId="0" fontId="14" fillId="5" borderId="17" xfId="0" applyNumberFormat="1" applyFont="1" applyFill="1" applyBorder="1"/>
    <x:xf numFmtId="0" fontId="14" fillId="0" borderId="0" xfId="0" applyNumberFormat="1" applyFont="1" applyFill="1" applyBorder="1"/>
    <x:xf numFmtId="0" fontId="14" fillId="5" borderId="18" xfId="0" applyNumberFormat="1" applyFont="1" applyFill="1" applyBorder="1"/>
    <x:xf numFmtId="0" fontId="14" fillId="5" borderId="20" xfId="0" applyNumberFormat="1" applyFont="1" applyFill="1" applyBorder="1"/>
    <x:xf numFmtId="0" fontId="14" fillId="0" borderId="19" xfId="0" applyNumberFormat="1" applyFont="1" applyFill="1" applyBorder="1"/>
    <x:xf numFmtId="201" fontId="14" fillId="5" borderId="16" xfId="0" applyNumberFormat="1" applyFont="1" applyFill="1" applyBorder="1"/>
    <x:xf numFmtId="201" fontId="14" fillId="5" borderId="17" xfId="0" applyNumberFormat="1" applyFont="1" applyFill="1" applyBorder="1"/>
    <x:xf numFmtId="201" fontId="14" fillId="0" borderId="0" xfId="0" applyNumberFormat="1" applyFont="1" applyFill="1" applyBorder="1"/>
    <x:xf numFmtId="201" fontId="14" fillId="5" borderId="18" xfId="0" applyNumberFormat="1" applyFont="1" applyFill="1" applyBorder="1"/>
    <x:xf numFmtId="201" fontId="14" fillId="5" borderId="20" xfId="0" applyNumberFormat="1" applyFont="1" applyFill="1" applyBorder="1"/>
    <x:xf numFmtId="201" fontId="14" fillId="0" borderId="19" xfId="0" applyNumberFormat="1" applyFont="1" applyFill="1" applyBorder="1"/>
    <x:xf numFmtId="202" fontId="14" fillId="5" borderId="16" xfId="0" applyNumberFormat="1" applyFont="1" applyFill="1" applyBorder="1"/>
    <x:xf numFmtId="202" fontId="14" fillId="5" borderId="17" xfId="0" applyNumberFormat="1" applyFont="1" applyFill="1" applyBorder="1"/>
    <x:xf numFmtId="202" fontId="14" fillId="5" borderId="18" xfId="0" applyNumberFormat="1" applyFont="1" applyFill="1" applyBorder="1"/>
    <x:xf numFmtId="202" fontId="14" fillId="5" borderId="20" xfId="0" applyNumberFormat="1" applyFont="1" applyFill="1" applyBorder="1"/>
    <x:xf numFmtId="203" fontId="0" fillId="0" borderId="0" xfId="0" applyNumberFormat="1" applyFont="1" applyFill="1" applyBorder="1"/>
    <x:xf numFmtId="203" fontId="0" fillId="0" borderId="6" xfId="0" applyNumberFormat="1" applyFont="1" applyFill="1" applyBorder="1"/>
    <x:xf numFmtId="203" fontId="0" fillId="0" borderId="9" xfId="0" applyNumberFormat="1" applyFont="1" applyFill="1" applyBorder="1"/>
    <x:xf numFmtId="203" fontId="0" fillId="0" borderId="12" xfId="0" applyNumberFormat="1" applyFont="1" applyFill="1" applyBorder="1"/>
    <x:xf numFmtId="203" fontId="3" fillId="0" borderId="6" xfId="0" applyNumberFormat="1" applyFont="1" applyFill="1" applyBorder="1"/>
    <x:xf numFmtId="203" fontId="3" fillId="0" borderId="9" xfId="0" applyNumberFormat="1" applyFont="1" applyFill="1" applyBorder="1"/>
    <x:xf numFmtId="203" fontId="3" fillId="0" borderId="12" xfId="0" applyNumberFormat="1" applyFont="1" applyFill="1" applyBorder="1"/>
    <x:xf numFmtId="203" fontId="4" fillId="0" borderId="6" xfId="0" applyNumberFormat="1" applyFont="1" applyFill="1" applyBorder="1"/>
    <x:xf numFmtId="203" fontId="4" fillId="0" borderId="9" xfId="0" applyNumberFormat="1" applyFont="1" applyFill="1" applyBorder="1"/>
    <x:xf numFmtId="203" fontId="4" fillId="0" borderId="12" xfId="0" applyNumberFormat="1" applyFont="1" applyFill="1" applyBorder="1"/>
    <x:xf numFmtId="202" fontId="0" fillId="0" borderId="0" xfId="0" applyNumberFormat="1" applyFont="1" applyFill="1" applyBorder="1"/>
    <x:xf numFmtId="202" fontId="0" fillId="0" borderId="6" xfId="0" applyNumberFormat="1" applyFont="1" applyFill="1" applyBorder="1"/>
    <x:xf numFmtId="202" fontId="0" fillId="0" borderId="9" xfId="0" applyNumberFormat="1" applyFont="1" applyFill="1" applyBorder="1"/>
    <x:xf numFmtId="202" fontId="0" fillId="0" borderId="12" xfId="0" applyNumberFormat="1" applyFont="1" applyFill="1" applyBorder="1"/>
    <x:xf numFmtId="202" fontId="3" fillId="0" borderId="6" xfId="0" applyNumberFormat="1" applyFont="1" applyFill="1" applyBorder="1"/>
    <x:xf numFmtId="202" fontId="3" fillId="0" borderId="9" xfId="0" applyNumberFormat="1" applyFont="1" applyFill="1" applyBorder="1"/>
    <x:xf numFmtId="202" fontId="3" fillId="0" borderId="12" xfId="0" applyNumberFormat="1" applyFont="1" applyFill="1" applyBorder="1"/>
    <x:xf numFmtId="202" fontId="4" fillId="0" borderId="6" xfId="0" applyNumberFormat="1" applyFont="1" applyFill="1" applyBorder="1"/>
    <x:xf numFmtId="202" fontId="4" fillId="0" borderId="9" xfId="0" applyNumberFormat="1" applyFont="1" applyFill="1" applyBorder="1"/>
    <x:xf numFmtId="202" fontId="4" fillId="0" borderId="12" xfId="0" applyNumberFormat="1" applyFont="1" applyFill="1" applyBorder="1"/>
    <x:xf numFmtId="20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5" xfId="0" applyNumberFormat="1" applyFont="1" applyFill="1" applyBorder="1"/>
    <x:xf numFmtId="0" fontId="0" fillId="0" borderId="6" xfId="0" applyNumberFormat="1" applyFont="1" applyFill="1" applyBorder="1" applyAlignment="1">
      <x:alignment wrapText="1"/>
    </x:xf>
    <x:xf numFmtId="200" fontId="0" fillId="0" borderId="8" xfId="0" applyNumberFormat="1" applyFont="1" applyFill="1" applyBorder="1"/>
    <x:xf numFmtId="0" fontId="0" fillId="0" borderId="9" xfId="0" applyNumberFormat="1" applyFont="1" applyFill="1" applyBorder="1" applyAlignment="1">
      <x:alignment wrapText="1"/>
    </x:xf>
    <x:xf numFmtId="200" fontId="0" fillId="0" borderId="11" xfId="0" applyNumberFormat="1" applyFont="1" applyFill="1" applyBorder="1"/>
    <x:xf numFmtId="0" fontId="0" fillId="0" borderId="12" xfId="0" applyNumberFormat="1" applyFont="1" applyFill="1" applyBorder="1" applyAlignment="1">
      <x:alignment wrapText="1"/>
    </x:xf>
    <x:xf numFmtId="200" fontId="3" fillId="0" borderId="5" xfId="0" applyNumberFormat="1" applyFont="1" applyFill="1" applyBorder="1"/>
    <x:xf numFmtId="0" fontId="3" fillId="0" borderId="6" xfId="0" applyNumberFormat="1" applyFont="1" applyFill="1" applyBorder="1" applyAlignment="1">
      <x:alignment wrapText="1"/>
    </x:xf>
    <x:xf numFmtId="200" fontId="3" fillId="0" borderId="8" xfId="0" applyNumberFormat="1" applyFont="1" applyFill="1" applyBorder="1"/>
    <x:xf numFmtId="0" fontId="3" fillId="0" borderId="9" xfId="0" applyNumberFormat="1" applyFont="1" applyFill="1" applyBorder="1" applyAlignment="1">
      <x:alignment wrapText="1"/>
    </x:xf>
    <x:xf numFmtId="200" fontId="3" fillId="0" borderId="11" xfId="0" applyNumberFormat="1" applyFont="1" applyFill="1" applyBorder="1"/>
    <x:xf numFmtId="0" fontId="3" fillId="0" borderId="12" xfId="0" applyNumberFormat="1" applyFont="1" applyFill="1" applyBorder="1" applyAlignment="1">
      <x:alignment wrapText="1"/>
    </x:xf>
    <x:xf numFmtId="0" fontId="15" fillId="3" borderId="0" xfId="0" applyNumberFormat="1" applyFont="1" applyFill="1" applyBorder="1"/>
    <x:xf numFmtId="0" fontId="16" fillId="3" borderId="0" xfId="0" applyNumberFormat="1" applyFont="1" applyFill="1" applyBorder="1"/>
    <x:xf numFmtId="0" fontId="17" fillId="0" borderId="0" xfId="0" applyNumberFormat="1" applyFont="1" applyFill="1" applyBorder="1"/>
    <x:xf numFmtId="0" fontId="18" fillId="5" borderId="13" xfId="0" applyNumberFormat="1" applyFont="1" applyFill="1" applyBorder="1"/>
    <x:xf numFmtId="0" fontId="18" fillId="5" borderId="15" xfId="0" applyNumberFormat="1" applyFont="1" applyFill="1" applyBorder="1"/>
    <x:xf numFmtId="0" fontId="18" fillId="0" borderId="14" xfId="0" applyNumberFormat="1" applyFont="1" applyFill="1" applyBorder="1"/>
    <x:xf numFmtId="201" fontId="19" fillId="5" borderId="16" xfId="0" applyNumberFormat="1" applyFont="1" applyFill="1" applyBorder="1"/>
    <x:xf numFmtId="201" fontId="19" fillId="5" borderId="17" xfId="0" applyNumberFormat="1" applyFont="1" applyFill="1" applyBorder="1"/>
    <x:xf numFmtId="201" fontId="19" fillId="0" borderId="0" xfId="0" applyNumberFormat="1" applyFont="1" applyFill="1" applyBorder="1"/>
    <x:xf numFmtId="202" fontId="19" fillId="5" borderId="16" xfId="0" applyNumberFormat="1" applyFont="1" applyFill="1" applyBorder="1"/>
    <x:xf numFmtId="202" fontId="19" fillId="5" borderId="17" xfId="0" applyNumberFormat="1" applyFont="1" applyFill="1" applyBorder="1"/>
    <x:xf numFmtId="201" fontId="19" fillId="5" borderId="18" xfId="0" applyNumberFormat="1" applyFont="1" applyFill="1" applyBorder="1"/>
    <x:xf numFmtId="201" fontId="19" fillId="5" borderId="20" xfId="0" applyNumberFormat="1" applyFont="1" applyFill="1" applyBorder="1"/>
    <x:xf numFmtId="201" fontId="19" fillId="0" borderId="19" xfId="0" applyNumberFormat="1" applyFont="1" applyFill="1" applyBorder="1"/>
    <x:xf numFmtId="202" fontId="19" fillId="5" borderId="18" xfId="0" applyNumberFormat="1" applyFont="1" applyFill="1" applyBorder="1"/>
    <x:xf numFmtId="202" fontId="19" fillId="5" borderId="20" xfId="0" applyNumberFormat="1" applyFont="1" applyFill="1" applyBorder="1"/>
    <x:xf numFmtId="0" fontId="20" fillId="2" borderId="1" xfId="0" applyNumberFormat="1" applyFont="1" applyFill="1" applyBorder="1" applyAlignment="1">
      <x:alignment wrapText="1"/>
    </x:xf>
    <x:xf numFmtId="0" fontId="20" fillId="2" borderId="2" xfId="0" applyNumberFormat="1" applyFont="1" applyFill="1" applyBorder="1" applyAlignment="1">
      <x:alignment wrapText="1"/>
    </x:xf>
    <x:xf numFmtId="0" fontId="20" fillId="2" borderId="3" xfId="0" applyNumberFormat="1" applyFont="1" applyFill="1" applyBorder="1" applyAlignment="1">
      <x:alignment wrapText="1"/>
    </x:xf>
    <x:xf numFmtId="0" fontId="21" fillId="0" borderId="4" xfId="0" applyNumberFormat="1" applyFont="1" applyFill="1" applyBorder="1"/>
    <x:xf numFmtId="0" fontId="21" fillId="0" borderId="5" xfId="0" applyNumberFormat="1" applyFont="1" applyFill="1" applyBorder="1"/>
    <x:xf numFmtId="203" fontId="21" fillId="0" borderId="6" xfId="0" applyNumberFormat="1" applyFont="1" applyFill="1" applyBorder="1"/>
    <x:xf numFmtId="202" fontId="21" fillId="0" borderId="6" xfId="0" applyNumberFormat="1" applyFont="1" applyFill="1" applyBorder="1"/>
    <x:xf numFmtId="200" fontId="21" fillId="0" borderId="5" xfId="0" applyNumberFormat="1" applyFont="1" applyFill="1" applyBorder="1"/>
    <x:xf numFmtId="0" fontId="21" fillId="0" borderId="6" xfId="0" applyNumberFormat="1" applyFont="1" applyFill="1" applyBorder="1" applyAlignment="1">
      <x:alignment wrapText="1"/>
    </x:xf>
    <x:xf numFmtId="0" fontId="21" fillId="0" borderId="7" xfId="0" applyNumberFormat="1" applyFont="1" applyFill="1" applyBorder="1"/>
    <x:xf numFmtId="0" fontId="21" fillId="0" borderId="8" xfId="0" applyNumberFormat="1" applyFont="1" applyFill="1" applyBorder="1"/>
    <x:xf numFmtId="203" fontId="21" fillId="0" borderId="9" xfId="0" applyNumberFormat="1" applyFont="1" applyFill="1" applyBorder="1"/>
    <x:xf numFmtId="202" fontId="21" fillId="0" borderId="9" xfId="0" applyNumberFormat="1" applyFont="1" applyFill="1" applyBorder="1"/>
    <x:xf numFmtId="200" fontId="21" fillId="0" borderId="8" xfId="0" applyNumberFormat="1" applyFont="1" applyFill="1" applyBorder="1"/>
    <x:xf numFmtId="0" fontId="21" fillId="0" borderId="9" xfId="0" applyNumberFormat="1" applyFont="1" applyFill="1" applyBorder="1" applyAlignment="1">
      <x:alignment wrapText="1"/>
    </x:xf>
    <x:xf numFmtId="0" fontId="21" fillId="0" borderId="10" xfId="0" applyNumberFormat="1" applyFont="1" applyFill="1" applyBorder="1"/>
    <x:xf numFmtId="0" fontId="21" fillId="0" borderId="11" xfId="0" applyNumberFormat="1" applyFont="1" applyFill="1" applyBorder="1"/>
    <x:xf numFmtId="202" fontId="21" fillId="0" borderId="12" xfId="0" applyNumberFormat="1" applyFont="1" applyFill="1" applyBorder="1"/>
    <x:xf numFmtId="203" fontId="21" fillId="0" borderId="12" xfId="0" applyNumberFormat="1" applyFont="1" applyFill="1" applyBorder="1"/>
    <x:xf numFmtId="200" fontId="21" fillId="0" borderId="11" xfId="0" applyNumberFormat="1" applyFont="1" applyFill="1" applyBorder="1"/>
    <x:xf numFmtId="0" fontId="21" fillId="0" borderId="12" xfId="0" applyNumberFormat="1" applyFont="1" applyFill="1" applyBorder="1" applyAlignment="1">
      <x:alignment wrapText="1"/>
    </x:xf>
    <x:xf numFmtId="0" fontId="22" fillId="3" borderId="0" xfId="0" applyNumberFormat="1" applyFont="1" applyFill="1" applyBorder="1"/>
    <x:xf numFmtId="0" fontId="23" fillId="4" borderId="0" xfId="0" applyNumberFormat="1" applyFont="1" applyFill="1" applyBorder="1"/>
    <x:xf numFmtId="201" fontId="21" fillId="0" borderId="5" xfId="0" applyNumberFormat="1" applyFont="1" applyFill="1" applyBorder="1"/>
    <x:xf numFmtId="0" fontId="24" fillId="0" borderId="5" xfId="0" applyNumberFormat="1" applyFont="1" applyFill="1" applyBorder="1"/>
    <x:xf numFmtId="201" fontId="21" fillId="0" borderId="8" xfId="0" applyNumberFormat="1" applyFont="1" applyFill="1" applyBorder="1"/>
    <x:xf numFmtId="0" fontId="24" fillId="0" borderId="8" xfId="0" applyNumberFormat="1" applyFont="1" applyFill="1" applyBorder="1"/>
    <x:xf numFmtId="201" fontId="21" fillId="0" borderId="11" xfId="0" applyNumberFormat="1" applyFont="1" applyFill="1" applyBorder="1"/>
    <x:xf numFmtId="0" fontId="24" fillId="0" borderId="11" xfId="0" applyNumberFormat="1" applyFont="1" applyFill="1" applyBorder="1"/>
    <x:xf numFmtId="0" fontId="21" fillId="0" borderId="5" xfId="0" applyNumberFormat="1" applyFont="1" applyFill="1" applyBorder="1" applyAlignment="1">
      <x:alignment wrapText="1"/>
    </x:xf>
    <x:xf numFmtId="0" fontId="21" fillId="0" borderId="8" xfId="0" applyNumberFormat="1" applyFont="1" applyFill="1" applyBorder="1" applyAlignment="1">
      <x:alignment wrapText="1"/>
    </x:xf>
    <x:xf numFmtId="0" fontId="21" fillId="0" borderId="11" xfId="0" applyNumberFormat="1" applyFont="1" applyFill="1" applyBorder="1" applyAlignment="1">
      <x:alignment wrapText="1"/>
    </x:xf>
    <x:xf numFmtId="0" fontId="21" fillId="0" borderId="6" xfId="0" applyNumberFormat="1" applyFont="1" applyFill="1" applyBorder="1"/>
    <x:xf numFmtId="0" fontId="21" fillId="0" borderId="9" xfId="0" applyNumberFormat="1" applyFont="1" applyFill="1" applyBorder="1"/>
    <x:xf numFmtId="0" fontId="21" fillId="0" borderId="12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62c88242d64270" /><Relationship Type="http://schemas.openxmlformats.org/officeDocument/2006/relationships/theme" Target="/xl/theme/theme1.xml" Id="R714b76a6c46c44b5" /><Relationship Type="http://schemas.openxmlformats.org/officeDocument/2006/relationships/sharedStrings" Target="/xl/sharedStrings.xml" Id="Rdc15f9aa3df040bc" /><Relationship Type="http://schemas.openxmlformats.org/officeDocument/2006/relationships/worksheet" Target="/xl/worksheets/sheet1.xml" Id="R080519147aff41bb" /><Relationship Type="http://schemas.openxmlformats.org/officeDocument/2006/relationships/worksheet" Target="/xl/worksheets/sheet2.xml" Id="R35a052f9b56146f2" /><Relationship Type="http://schemas.openxmlformats.org/officeDocument/2006/relationships/worksheet" Target="/xl/worksheets/sheet3.xml" Id="Rc6a3dc79f1354475" /><Relationship Type="http://schemas.openxmlformats.org/officeDocument/2006/relationships/worksheet" Target="/xl/worksheets/sheet4.xml" Id="R4d3507235c8246b9" /><Relationship Type="http://schemas.openxmlformats.org/officeDocument/2006/relationships/worksheet" Target="/xl/worksheets/sheet5.xml" Id="Rd881e9a682ac49fd" /><Relationship Type="http://schemas.openxmlformats.org/officeDocument/2006/relationships/worksheet" Target="/xl/worksheets/sheet6.xml" Id="Rc24c6f2a6dd7478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5fac2c4366a4329" /><Relationship Type="http://schemas.openxmlformats.org/officeDocument/2006/relationships/chart" Target="/xl/drawings/charts/chart2.xml" Id="R1e749d48afa94afc" /><Relationship Type="http://schemas.openxmlformats.org/officeDocument/2006/relationships/chart" Target="/xl/drawings/charts/chart3.xml" Id="R21efc0275c214f6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Pipeline by Stage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Count</c:v>
          </c:tx>
          <c:cat>
            <c:strRef>
              <c:f>'Dashboard'!$A$10:$A$17</c:f>
              <c:strCache>
                <c:ptCount val="0"/>
              </c:strCache>
            </c:strRef>
          </c:cat>
          <c:val>
            <c:numRef>
              <c:f>'Dashboard'!$B$10:$B$17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Open Roles by Priority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Open Roles</c:v>
          </c:tx>
          <c:cat>
            <c:strRef>
              <c:f>'Dashboard'!$F$10:$F$12</c:f>
              <c:strCache>
                <c:ptCount val="0"/>
              </c:strCache>
            </c:strRef>
          </c:cat>
          <c:val>
            <c:numRef>
              <c:f>'Dashboard'!$G$10:$G$12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Role Type Mix</a:t>
            </a:r>
          </a:p>
        </c:rich>
      </c:tx>
    </c:title>
    <c:plotArea>
      <c:barChart>
        <c:barDir val="bar"/>
        <c:grouping val="clustered"/>
        <c:varyColors val="0"/>
        <c:ser>
          <c:idx val="0"/>
          <c:order val="0"/>
          <c:tx>
            <c:v>Count</c:v>
          </c:tx>
          <c:cat>
            <c:strRef>
              <c:f>'Dashboard'!$A$21:$A$28</c:f>
              <c:strCache>
                <c:ptCount val="0"/>
              </c:strCache>
            </c:strRef>
          </c:cat>
          <c:val>
            <c:numRef>
              <c:f>'Dashboard'!$B$21:$B$28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30</xdr:row>
      <xdr:rowOff>0</xdr:rowOff>
    </xdr:from>
    <xdr:ext cx="4095750" cy="24765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5fac2c4366a4329"/>
        </a:graphicData>
      </a:graphic>
    </xdr:graphicFrame>
    <xdr:clientData/>
  </xdr:oneCellAnchor>
  <xdr:oneCellAnchor>
    <xdr:from>
      <xdr:col>5</xdr:col>
      <xdr:colOff>0</xdr:colOff>
      <xdr:row>30</xdr:row>
      <xdr:rowOff>0</xdr:rowOff>
    </xdr:from>
    <xdr:ext cx="3905250" cy="2476500"/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e749d48afa94afc"/>
        </a:graphicData>
      </a:graphic>
    </xdr:graphicFrame>
    <xdr:clientData/>
  </xdr:oneCellAnchor>
  <xdr:oneCellAnchor>
    <xdr:from>
      <xdr:col>10</xdr:col>
      <xdr:colOff>0</xdr:colOff>
      <xdr:row>30</xdr:row>
      <xdr:rowOff>0</xdr:rowOff>
    </xdr:from>
    <xdr:ext cx="4095750" cy="2476500"/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1efc0275c214f67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746262398904c4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3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3" hidden="0" customWidth="1"/>
    <x:col min="11" max="11" width="19" hidden="0" customWidth="1"/>
    <x:col min="12" max="12" width="16" hidden="0" customWidth="1"/>
    <x:col min="13" max="13" width="14" hidden="0" customWidth="1"/>
    <x:col min="14" max="14" width="24" hidden="0" customWidth="1"/>
  </x:cols>
  <x:sheetData>
    <x:row r="1" ht="36" customHeight="1">
      <x:c r="A1" s="139" t="str">
        <x:v>Thai Big Tech Internship Dashboard</x:v>
      </x:c>
      <x:c r="B1" s="139" t="str">
        <x:v>Thai Big Tech Internship Dashboard</x:v>
      </x:c>
      <x:c r="C1" s="139" t="str">
        <x:v>Thai Big Tech Internship Dashboard</x:v>
      </x:c>
      <x:c r="D1" s="139" t="str">
        <x:v>Thai Big Tech Internship Dashboard</x:v>
      </x:c>
      <x:c r="E1" s="139" t="str">
        <x:v>Thai Big Tech Internship Dashboard</x:v>
      </x:c>
      <x:c r="F1" s="139" t="str">
        <x:v>Thai Big Tech Internship Dashboard</x:v>
      </x:c>
      <x:c r="G1" s="139" t="str">
        <x:v>Thai Big Tech Internship Dashboard</x:v>
      </x:c>
      <x:c r="H1" s="139" t="str">
        <x:v>Thai Big Tech Internship Dashboard</x:v>
      </x:c>
      <x:c r="I1" s="139" t="str">
        <x:v>Thai Big Tech Internship Dashboard</x:v>
      </x:c>
      <x:c r="J1" s="139" t="str">
        <x:v>Thai Big Tech Internship Dashboard</x:v>
      </x:c>
      <x:c r="K1" s="139" t="str">
        <x:v>Thai Big Tech Internship Dashboard</x:v>
      </x:c>
      <x:c r="L1" s="139" t="str">
        <x:v>Thai Big Tech Internship Dashboard</x:v>
      </x:c>
      <x:c r="M1" s="139" t="str">
        <x:v>Thai Big Tech Internship Dashboard</x:v>
      </x:c>
      <x:c r="N1" s="139" t="str">
        <x:v>Thai Big Tech Internship Dashboard</x:v>
      </x:c>
    </x:row>
    <x:row r="2">
      <x:c r="A2" s="140" t="str">
        <x:v>Snapshot, pipeline, follow-ups, and target-company coverage. Edit the Applications sheet to refresh this view.</x:v>
      </x:c>
      <x:c r="B2" s="140" t="str">
        <x:v>Snapshot, pipeline, follow-ups, and target-company coverage. Edit the Applications sheet to refresh this view.</x:v>
      </x:c>
      <x:c r="C2" s="140" t="str">
        <x:v>Snapshot, pipeline, follow-ups, and target-company coverage. Edit the Applications sheet to refresh this view.</x:v>
      </x:c>
      <x:c r="D2" s="140" t="str">
        <x:v>Snapshot, pipeline, follow-ups, and target-company coverage. Edit the Applications sheet to refresh this view.</x:v>
      </x:c>
      <x:c r="E2" s="140" t="str">
        <x:v>Snapshot, pipeline, follow-ups, and target-company coverage. Edit the Applications sheet to refresh this view.</x:v>
      </x:c>
      <x:c r="F2" s="140" t="str">
        <x:v>Snapshot, pipeline, follow-ups, and target-company coverage. Edit the Applications sheet to refresh this view.</x:v>
      </x:c>
      <x:c r="G2" s="140" t="str">
        <x:v>Snapshot, pipeline, follow-ups, and target-company coverage. Edit the Applications sheet to refresh this view.</x:v>
      </x:c>
      <x:c r="H2" s="140" t="str">
        <x:v>Snapshot, pipeline, follow-ups, and target-company coverage. Edit the Applications sheet to refresh this view.</x:v>
      </x:c>
      <x:c r="I2" s="140" t="str">
        <x:v>Snapshot, pipeline, follow-ups, and target-company coverage. Edit the Applications sheet to refresh this view.</x:v>
      </x:c>
      <x:c r="J2" s="140" t="str">
        <x:v>Snapshot, pipeline, follow-ups, and target-company coverage. Edit the Applications sheet to refresh this view.</x:v>
      </x:c>
      <x:c r="K2" s="140" t="str">
        <x:v>Snapshot, pipeline, follow-ups, and target-company coverage. Edit the Applications sheet to refresh this view.</x:v>
      </x:c>
      <x:c r="L2" s="140" t="str">
        <x:v>Snapshot, pipeline, follow-ups, and target-company coverage. Edit the Applications sheet to refresh this view.</x:v>
      </x:c>
      <x:c r="M2" s="140" t="str">
        <x:v>Snapshot, pipeline, follow-ups, and target-company coverage. Edit the Applications sheet to refresh this view.</x:v>
      </x:c>
      <x:c r="N2" s="140" t="str">
        <x:v>Snapshot, pipeline, follow-ups, and target-company coverage. Edit the Applications sheet to refresh this view.</x:v>
      </x:c>
    </x:row>
    <x:row r="3">
      <x:c r="A3" s="141"/>
      <x:c r="B3" s="141"/>
      <x:c r="C3" s="141"/>
      <x:c r="D3" s="141"/>
      <x:c r="E3" s="141"/>
      <x:c r="F3" s="141"/>
      <x:c r="G3" s="141"/>
      <x:c r="H3" s="141"/>
      <x:c r="I3" s="141"/>
      <x:c r="J3" s="141"/>
      <x:c r="K3" s="141"/>
      <x:c r="L3" s="141"/>
      <x:c r="M3" s="141"/>
      <x:c r="N3" s="141"/>
    </x:row>
    <x:row r="4">
      <x:c r="A4" s="142" t="str">
        <x:v>Total Roles</x:v>
      </x:c>
      <x:c r="B4" s="143" t="str">
        <x:v>Total Roles</x:v>
      </x:c>
      <x:c r="C4" s="142" t="str">
        <x:v>Applied</x:v>
      </x:c>
      <x:c r="D4" s="143" t="str">
        <x:v>Applied</x:v>
      </x:c>
      <x:c r="E4" s="144"/>
      <x:c r="F4" s="142" t="str">
        <x:v>Interviews</x:v>
      </x:c>
      <x:c r="G4" s="143" t="str">
        <x:v>Interviews</x:v>
      </x:c>
      <x:c r="H4" s="142" t="str">
        <x:v>Offers</x:v>
      </x:c>
      <x:c r="I4" s="143" t="str">
        <x:v>Offers</x:v>
      </x:c>
      <x:c r="J4" s="144"/>
      <x:c r="K4" s="142" t="str">
        <x:v>Due Next 14d</x:v>
      </x:c>
      <x:c r="L4" s="143" t="str">
        <x:v>Due Next 14d</x:v>
      </x:c>
      <x:c r="M4" s="142" t="str">
        <x:v>Avg Fit</x:v>
      </x:c>
      <x:c r="N4" s="143" t="str">
        <x:v>Avg Fit</x:v>
      </x:c>
    </x:row>
    <x:row r="5">
      <x:c r="A5" s="145" t="n">
        <x:f>COUNTA('Applications'!$A$6:$A$105)</x:f>
        <x:v>10</x:v>
      </x:c>
      <x:c r="B5" s="146"/>
      <x:c r="C5" s="145" t="n">
        <x:f>COUNTIF('Applications'!$F$6:$F$105,"Applied")</x:f>
        <x:v>3</x:v>
      </x:c>
      <x:c r="D5" s="146"/>
      <x:c r="E5" s="147"/>
      <x:c r="F5" s="145" t="n">
        <x:f>COUNTIF('Applications'!$F$6:$F$105,"Interview")</x:f>
        <x:v>1</x:v>
      </x:c>
      <x:c r="G5" s="146"/>
      <x:c r="H5" s="145" t="n">
        <x:f>COUNTIF('Applications'!$F$6:$F$105,"Offer")</x:f>
        <x:v>0</x:v>
      </x:c>
      <x:c r="I5" s="146"/>
      <x:c r="J5" s="147"/>
      <x:c r="K5" s="145" t="n">
        <x:f>COUNTIFS('Applications'!$H$6:$H$105,"&gt;="&amp;TODAY(),'Applications'!$H$6:$H$105,"&lt;="&amp;TODAY()+14,'Applications'!$F$6:$F$105,"&lt;&gt;Rejected")</x:f>
        <x:v>3</x:v>
      </x:c>
      <x:c r="L5" s="146"/>
      <x:c r="M5" s="148" t="n">
        <x:f>IFERROR(AVERAGE('Applications'!$K$6:$K$105),0)</x:f>
        <x:v>7.5</x:v>
      </x:c>
      <x:c r="N5" s="149"/>
    </x:row>
    <x:row r="6">
      <x:c r="A6" s="150"/>
      <x:c r="B6" s="151"/>
      <x:c r="C6" s="150"/>
      <x:c r="D6" s="151"/>
      <x:c r="E6" s="152"/>
      <x:c r="F6" s="150"/>
      <x:c r="G6" s="151"/>
      <x:c r="H6" s="150"/>
      <x:c r="I6" s="151"/>
      <x:c r="J6" s="152"/>
      <x:c r="K6" s="150"/>
      <x:c r="L6" s="151"/>
      <x:c r="M6" s="153"/>
      <x:c r="N6" s="154"/>
    </x:row>
    <x:row r="7">
      <x:c r="A7" s="141"/>
      <x:c r="B7" s="141"/>
      <x:c r="C7" s="141"/>
      <x:c r="D7" s="141"/>
      <x:c r="E7" s="141"/>
      <x:c r="F7" s="141"/>
      <x:c r="G7" s="141"/>
      <x:c r="H7" s="141"/>
      <x:c r="I7" s="141"/>
      <x:c r="J7" s="141"/>
      <x:c r="K7" s="141"/>
      <x:c r="L7" s="141"/>
      <x:c r="M7" s="141"/>
      <x:c r="N7" s="141"/>
    </x:row>
    <x:row r="8">
      <x:c r="A8" s="141"/>
      <x:c r="B8" s="141"/>
      <x:c r="C8" s="141"/>
      <x:c r="D8" s="141"/>
      <x:c r="E8" s="141"/>
      <x:c r="F8" s="141"/>
      <x:c r="G8" s="141"/>
      <x:c r="H8" s="141"/>
      <x:c r="I8" s="141"/>
      <x:c r="J8" s="141"/>
      <x:c r="K8" s="141"/>
      <x:c r="L8" s="141"/>
      <x:c r="M8" s="141"/>
      <x:c r="N8" s="141"/>
    </x:row>
    <x:row r="9">
      <x:c r="A9" s="155" t="str">
        <x:v>Pipeline Stage</x:v>
      </x:c>
      <x:c r="B9" s="156" t="str">
        <x:v>Count</x:v>
      </x:c>
      <x:c r="C9" s="157" t="str">
        <x:v>Share</x:v>
      </x:c>
      <x:c r="D9" s="141"/>
      <x:c r="E9" s="141"/>
      <x:c r="F9" s="155" t="str">
        <x:v>Priority</x:v>
      </x:c>
      <x:c r="G9" s="156" t="str">
        <x:v>Open Roles</x:v>
      </x:c>
      <x:c r="H9" s="157" t="str">
        <x:v>Avg Fit</x:v>
      </x:c>
      <x:c r="I9" s="141"/>
      <x:c r="J9" s="141"/>
      <x:c r="K9" s="155" t="str">
        <x:v>Company</x:v>
      </x:c>
      <x:c r="L9" s="156" t="str">
        <x:v>Status</x:v>
      </x:c>
      <x:c r="M9" s="156" t="str">
        <x:v>Deadline</x:v>
      </x:c>
      <x:c r="N9" s="157" t="str">
        <x:v>Next Step</x:v>
      </x:c>
    </x:row>
    <x:row r="10">
      <x:c r="A10" s="158" t="str">
        <x:v>Saved</x:v>
      </x:c>
      <x:c r="B10" s="159" t="n">
        <x:f>COUNTIF('Applications'!$F$6:$F$105,A10)</x:f>
        <x:v>2</x:v>
      </x:c>
      <x:c r="C10" s="160" t="n">
        <x:f>IFERROR(B10/$A$5,0)</x:f>
        <x:v>0.2</x:v>
      </x:c>
      <x:c r="D10" s="141"/>
      <x:c r="E10" s="141"/>
      <x:c r="F10" s="158" t="str">
        <x:v>High</x:v>
      </x:c>
      <x:c r="G10" s="159" t="n">
        <x:f>COUNTIFS('Applications'!$G$6:$G$105,F10,'Applications'!$F$6:$F$105,"&lt;&gt;Rejected",'Applications'!$F$6:$F$105,"&lt;&gt;Withdrawn")</x:f>
        <x:v>4</x:v>
      </x:c>
      <x:c r="H10" s="161" t="n">
        <x:f>IFERROR(SUMIFS('Applications'!$K$6:$K$105,'Applications'!$G$6:$G$105,F10)/COUNTIFS('Applications'!$G$6:$G$105,F10,'Applications'!$K$6:$K$105,"&gt;0"),0)</x:f>
        <x:v>8.5</x:v>
      </x:c>
      <x:c r="I10" s="141"/>
      <x:c r="J10" s="141"/>
      <x:c r="K10" s="158" t="str">
        <x:f>'Applications'!A6</x:f>
        <x:v>LINE MAN Wongnai</x:v>
      </x:c>
      <x:c r="L10" s="159" t="str">
        <x:f>'Applications'!F6</x:f>
        <x:v>Applied</x:v>
      </x:c>
      <x:c r="M10" s="162" t="n">
        <x:f>'Applications'!H6</x:f>
        <x:v>46228</x:v>
      </x:c>
      <x:c r="N10" s="163" t="str">
        <x:f>'Applications'!N6</x:f>
        <x:v>Backend team, food delivery platform</x:v>
      </x:c>
    </x:row>
    <x:row r="11">
      <x:c r="A11" s="164" t="str">
        <x:v>Preparing</x:v>
      </x:c>
      <x:c r="B11" s="165" t="n">
        <x:f>COUNTIF('Applications'!$F$6:$F$105,A11)</x:f>
        <x:v>2</x:v>
      </x:c>
      <x:c r="C11" s="166" t="n">
        <x:f>IFERROR(B11/$A$5,0)</x:f>
        <x:v>0.2</x:v>
      </x:c>
      <x:c r="D11" s="141"/>
      <x:c r="E11" s="141"/>
      <x:c r="F11" s="164" t="str">
        <x:v>Medium</x:v>
      </x:c>
      <x:c r="G11" s="165" t="n">
        <x:f>COUNTIFS('Applications'!$G$6:$G$105,F11,'Applications'!$F$6:$F$105,"&lt;&gt;Rejected",'Applications'!$F$6:$F$105,"&lt;&gt;Withdrawn")</x:f>
        <x:v>4</x:v>
      </x:c>
      <x:c r="H11" s="167" t="n">
        <x:f>IFERROR(SUMIFS('Applications'!$K$6:$K$105,'Applications'!$G$6:$G$105,F11)/COUNTIFS('Applications'!$G$6:$G$105,F11,'Applications'!$K$6:$K$105,"&gt;0"),0)</x:f>
        <x:v>7.25</x:v>
      </x:c>
      <x:c r="I11" s="141"/>
      <x:c r="J11" s="141"/>
      <x:c r="K11" s="164" t="str">
        <x:f>'Applications'!A7</x:f>
        <x:v>Agoda Thailand</x:v>
      </x:c>
      <x:c r="L11" s="165" t="str">
        <x:f>'Applications'!F7</x:f>
        <x:v>Interview</x:v>
      </x:c>
      <x:c r="M11" s="168" t="n">
        <x:f>'Applications'!H7</x:f>
        <x:v>46223</x:v>
      </x:c>
      <x:c r="N11" s="169" t="str">
        <x:f>'Applications'!N7</x:f>
        <x:v>Prepare SQL case and product metrics</x:v>
      </x:c>
    </x:row>
    <x:row r="12">
      <x:c r="A12" s="164" t="str">
        <x:v>Applied</x:v>
      </x:c>
      <x:c r="B12" s="165" t="n">
        <x:f>COUNTIF('Applications'!$F$6:$F$105,A12)</x:f>
        <x:v>3</x:v>
      </x:c>
      <x:c r="C12" s="166" t="n">
        <x:f>IFERROR(B12/$A$5,0)</x:f>
        <x:v>0.3</x:v>
      </x:c>
      <x:c r="D12" s="141"/>
      <x:c r="E12" s="141"/>
      <x:c r="F12" s="170" t="str">
        <x:v>Low</x:v>
      </x:c>
      <x:c r="G12" s="171" t="n">
        <x:f>COUNTIFS('Applications'!$G$6:$G$105,F12,'Applications'!$F$6:$F$105,"&lt;&gt;Rejected",'Applications'!$F$6:$F$105,"&lt;&gt;Withdrawn")</x:f>
        <x:v>1</x:v>
      </x:c>
      <x:c r="H12" s="172" t="n">
        <x:f>IFERROR(SUMIFS('Applications'!$K$6:$K$105,'Applications'!$G$6:$G$105,F12)/COUNTIFS('Applications'!$G$6:$G$105,F12,'Applications'!$K$6:$K$105,"&gt;0"),0)</x:f>
        <x:v>6</x:v>
      </x:c>
      <x:c r="I12" s="141"/>
      <x:c r="J12" s="141"/>
      <x:c r="K12" s="164" t="str">
        <x:f>'Applications'!A8</x:f>
        <x:v>Ascend Money / TrueMoney</x:v>
      </x:c>
      <x:c r="L12" s="165" t="str">
        <x:f>'Applications'!F8</x:f>
        <x:v>Preparing</x:v>
      </x:c>
      <x:c r="M12" s="168" t="n">
        <x:f>'Applications'!H8</x:f>
        <x:v>46234</x:v>
      </x:c>
      <x:c r="N12" s="169" t="str">
        <x:f>'Applications'!N8</x:f>
        <x:v>Customize CV for payments and fintech</x:v>
      </x:c>
    </x:row>
    <x:row r="13">
      <x:c r="A13" s="164" t="str">
        <x:v>OA / Test</x:v>
      </x:c>
      <x:c r="B13" s="165" t="n">
        <x:f>COUNTIF('Applications'!$F$6:$F$105,A13)</x:f>
        <x:v>1</x:v>
      </x:c>
      <x:c r="C13" s="166" t="n">
        <x:f>IFERROR(B13/$A$5,0)</x:f>
        <x:v>0.1</x:v>
      </x:c>
      <x:c r="D13" s="141"/>
      <x:c r="E13" s="141"/>
      <x:c r="F13" s="141"/>
      <x:c r="G13" s="141"/>
      <x:c r="H13" s="141"/>
      <x:c r="I13" s="141"/>
      <x:c r="J13" s="141"/>
      <x:c r="K13" s="164" t="str">
        <x:f>'Applications'!A9</x:f>
        <x:v>KBTG</x:v>
      </x:c>
      <x:c r="L13" s="165" t="str">
        <x:f>'Applications'!F9</x:f>
        <x:v>OA / Test</x:v>
      </x:c>
      <x:c r="M13" s="168" t="n">
        <x:f>'Applications'!H9</x:f>
        <x:v>46221</x:v>
      </x:c>
      <x:c r="N13" s="169" t="str">
        <x:f>'Applications'!N9</x:f>
        <x:v>Review ML basics and banking use cases</x:v>
      </x:c>
    </x:row>
    <x:row r="14">
      <x:c r="A14" s="164" t="str">
        <x:v>Interview</x:v>
      </x:c>
      <x:c r="B14" s="165" t="n">
        <x:f>COUNTIF('Applications'!$F$6:$F$105,A14)</x:f>
        <x:v>1</x:v>
      </x:c>
      <x:c r="C14" s="166" t="n">
        <x:f>IFERROR(B14/$A$5,0)</x:f>
        <x:v>0.1</x:v>
      </x:c>
      <x:c r="D14" s="141"/>
      <x:c r="E14" s="141"/>
      <x:c r="F14" s="141"/>
      <x:c r="G14" s="141"/>
      <x:c r="H14" s="141"/>
      <x:c r="I14" s="141"/>
      <x:c r="J14" s="141"/>
      <x:c r="K14" s="164" t="str">
        <x:f>'Applications'!A10</x:f>
        <x:v>SCB 10X</x:v>
      </x:c>
      <x:c r="L14" s="165" t="str">
        <x:f>'Applications'!F10</x:f>
        <x:v>Saved</x:v>
      </x:c>
      <x:c r="M14" s="168" t="n">
        <x:f>'Applications'!H10</x:f>
        <x:v>46244</x:v>
      </x:c>
      <x:c r="N14" s="169" t="str">
        <x:f>'Applications'!N10</x:f>
        <x:v>Needs tailored cover letter</x:v>
      </x:c>
    </x:row>
    <x:row r="15">
      <x:c r="A15" s="164" t="str">
        <x:v>Offer</x:v>
      </x:c>
      <x:c r="B15" s="165" t="n">
        <x:f>COUNTIF('Applications'!$F$6:$F$105,A15)</x:f>
        <x:v>0</x:v>
      </x:c>
      <x:c r="C15" s="166" t="n">
        <x:f>IFERROR(B15/$A$5,0)</x:f>
        <x:v>0</x:v>
      </x:c>
      <x:c r="D15" s="141"/>
      <x:c r="E15" s="141"/>
      <x:c r="F15" s="141"/>
      <x:c r="G15" s="141"/>
      <x:c r="H15" s="141"/>
      <x:c r="I15" s="141"/>
      <x:c r="J15" s="141"/>
      <x:c r="K15" s="164" t="str">
        <x:f>'Applications'!A11</x:f>
        <x:v>Bitkub</x:v>
      </x:c>
      <x:c r="L15" s="165" t="str">
        <x:f>'Applications'!F11</x:f>
        <x:v>Applied</x:v>
      </x:c>
      <x:c r="M15" s="168" t="n">
        <x:f>'Applications'!H11</x:f>
        <x:v>46231</x:v>
      </x:c>
      <x:c r="N15" s="169" t="str">
        <x:f>'Applications'!N11</x:f>
        <x:v>Highlight CTF and security coursework</x:v>
      </x:c>
    </x:row>
    <x:row r="16">
      <x:c r="A16" s="164" t="str">
        <x:v>Rejected</x:v>
      </x:c>
      <x:c r="B16" s="165" t="n">
        <x:f>COUNTIF('Applications'!$F$6:$F$105,A16)</x:f>
        <x:v>1</x:v>
      </x:c>
      <x:c r="C16" s="166" t="n">
        <x:f>IFERROR(B16/$A$5,0)</x:f>
        <x:v>0.1</x:v>
      </x:c>
      <x:c r="D16" s="141"/>
      <x:c r="E16" s="141"/>
      <x:c r="F16" s="141"/>
      <x:c r="G16" s="141"/>
      <x:c r="H16" s="141"/>
      <x:c r="I16" s="141"/>
      <x:c r="J16" s="141"/>
      <x:c r="K16" s="164" t="str">
        <x:f>'Applications'!A12</x:f>
        <x:v>Sertis</x:v>
      </x:c>
      <x:c r="L16" s="165" t="str">
        <x:f>'Applications'!F12</x:f>
        <x:v>Preparing</x:v>
      </x:c>
      <x:c r="M16" s="168" t="n">
        <x:f>'Applications'!H12</x:f>
        <x:v>46239</x:v>
      </x:c>
      <x:c r="N16" s="169" t="str">
        <x:f>'Applications'!N12</x:f>
        <x:v>Build mini portfolio note</x:v>
      </x:c>
    </x:row>
    <x:row r="17">
      <x:c r="A17" s="170" t="str">
        <x:v>Withdrawn</x:v>
      </x:c>
      <x:c r="B17" s="171" t="n">
        <x:f>COUNTIF('Applications'!$F$6:$F$105,A17)</x:f>
        <x:v>0</x:v>
      </x:c>
      <x:c r="C17" s="173" t="n">
        <x:f>IFERROR(B17/$A$5,0)</x:f>
        <x:v>0</x:v>
      </x:c>
      <x:c r="D17" s="141"/>
      <x:c r="E17" s="141"/>
      <x:c r="F17" s="141"/>
      <x:c r="G17" s="141"/>
      <x:c r="H17" s="141"/>
      <x:c r="I17" s="141"/>
      <x:c r="J17" s="141"/>
      <x:c r="K17" s="170" t="str">
        <x:f>'Applications'!A13</x:f>
        <x:v>Central Tech</x:v>
      </x:c>
      <x:c r="L17" s="171" t="str">
        <x:f>'Applications'!F13</x:f>
        <x:v>Saved</x:v>
      </x:c>
      <x:c r="M17" s="174" t="n">
        <x:f>'Applications'!H13</x:f>
        <x:v>46246</x:v>
      </x:c>
      <x:c r="N17" s="175" t="str">
        <x:f>'Applications'!N13</x:f>
        <x:v>Check tech stack before applying</x:v>
      </x:c>
    </x:row>
    <x:row r="18">
      <x:c r="A18" s="141"/>
      <x:c r="B18" s="141"/>
      <x:c r="C18" s="141"/>
      <x:c r="D18" s="141"/>
      <x:c r="E18" s="141"/>
      <x:c r="F18" s="141"/>
      <x:c r="G18" s="141"/>
      <x:c r="H18" s="141"/>
      <x:c r="I18" s="141"/>
      <x:c r="J18" s="141"/>
      <x:c r="K18" s="141"/>
      <x:c r="L18" s="141"/>
      <x:c r="M18" s="141"/>
      <x:c r="N18" s="141"/>
    </x:row>
    <x:row r="19">
      <x:c r="A19" s="141"/>
      <x:c r="B19" s="141"/>
      <x:c r="C19" s="141"/>
      <x:c r="D19" s="141"/>
      <x:c r="E19" s="141"/>
      <x:c r="F19" s="141"/>
      <x:c r="G19" s="141"/>
      <x:c r="H19" s="141"/>
      <x:c r="I19" s="141"/>
      <x:c r="J19" s="141"/>
      <x:c r="K19" s="141"/>
      <x:c r="L19" s="141"/>
      <x:c r="M19" s="141"/>
      <x:c r="N19" s="141"/>
    </x:row>
    <x:row r="20">
      <x:c r="A20" s="155" t="str">
        <x:v>Role Type</x:v>
      </x:c>
      <x:c r="B20" s="156" t="str">
        <x:v>Count</x:v>
      </x:c>
      <x:c r="C20" s="157" t="str">
        <x:v>Avg Fit</x:v>
      </x:c>
      <x:c r="D20" s="141"/>
      <x:c r="E20" s="141"/>
      <x:c r="F20" s="155" t="str">
        <x:v>Source</x:v>
      </x:c>
      <x:c r="G20" s="156" t="str">
        <x:v>Applications</x:v>
      </x:c>
      <x:c r="H20" s="157" t="str">
        <x:v>Interview Rate</x:v>
      </x:c>
      <x:c r="I20" s="141"/>
      <x:c r="J20" s="141"/>
      <x:c r="K20" s="155" t="str">
        <x:v>This Week Focus</x:v>
      </x:c>
      <x:c r="L20" s="156" t="str">
        <x:v>Value</x:v>
      </x:c>
      <x:c r="M20" s="156" t="str">
        <x:v>Formula</x:v>
      </x:c>
      <x:c r="N20" s="157" t="str">
        <x:v>Meaning</x:v>
      </x:c>
    </x:row>
    <x:row r="21">
      <x:c r="A21" s="158" t="str">
        <x:v>Software Engineer</x:v>
      </x:c>
      <x:c r="B21" s="159" t="n">
        <x:f>COUNTIF('Applications'!$C$6:$C$105,A21)</x:f>
        <x:v>2</x:v>
      </x:c>
      <x:c r="C21" s="161" t="n">
        <x:f>IFERROR(SUMIFS('Applications'!$K$6:$K$105,'Applications'!$C$6:$C$105,A21)/COUNTIFS('Applications'!$C$6:$C$105,A21,'Applications'!$K$6:$K$105,"&gt;0"),0)</x:f>
        <x:v>7.5</x:v>
      </x:c>
      <x:c r="D21" s="141"/>
      <x:c r="E21" s="141"/>
      <x:c r="F21" s="158" t="str">
        <x:v>Careers Page</x:v>
      </x:c>
      <x:c r="G21" s="159" t="n">
        <x:f>COUNTIF('Applications'!$E$6:$E$105,F21)</x:f>
        <x:v>4</x:v>
      </x:c>
      <x:c r="H21" s="160" t="n">
        <x:f>IFERROR((COUNTIFS('Applications'!$E$6:$E$105,F21,'Applications'!$F$6:$F$105,"Interview")+COUNTIFS('Applications'!$E$6:$E$105,F21,'Applications'!$F$6:$F$105,"Offer"))/G21,0)</x:f>
        <x:v>0</x:v>
      </x:c>
      <x:c r="I21" s="141"/>
      <x:c r="J21" s="141"/>
      <x:c r="K21" s="158" t="str">
        <x:v>High-priority open</x:v>
      </x:c>
      <x:c r="L21" s="159" t="n">
        <x:f>COUNTIFS('Applications'!$G$6:$G$105,"High",'Applications'!$F$6:$F$105,"&lt;&gt;Rejected",'Applications'!$F$6:$F$105,"&lt;&gt;Withdrawn")</x:f>
        <x:v>4</x:v>
      </x:c>
      <x:c r="M21" s="159" t="str">
        <x:v>COUNTIFS</x:v>
      </x:c>
      <x:c r="N21" s="163" t="str">
        <x:v>Roles that deserve the next application push</x:v>
      </x:c>
    </x:row>
    <x:row r="22">
      <x:c r="A22" s="164" t="str">
        <x:v>Data</x:v>
      </x:c>
      <x:c r="B22" s="165" t="n">
        <x:f>COUNTIF('Applications'!$C$6:$C$105,A22)</x:f>
        <x:v>1</x:v>
      </x:c>
      <x:c r="C22" s="167" t="n">
        <x:f>IFERROR(SUMIFS('Applications'!$K$6:$K$105,'Applications'!$C$6:$C$105,A22)/COUNTIFS('Applications'!$C$6:$C$105,A22,'Applications'!$K$6:$K$105,"&gt;0"),0)</x:f>
        <x:v>8</x:v>
      </x:c>
      <x:c r="D22" s="141"/>
      <x:c r="E22" s="141"/>
      <x:c r="F22" s="164" t="str">
        <x:v>LinkedIn</x:v>
      </x:c>
      <x:c r="G22" s="165" t="n">
        <x:f>COUNTIF('Applications'!$E$6:$E$105,F22)</x:f>
        <x:v>2</x:v>
      </x:c>
      <x:c r="H22" s="166" t="n">
        <x:f>IFERROR((COUNTIFS('Applications'!$E$6:$E$105,F22,'Applications'!$F$6:$F$105,"Interview")+COUNTIFS('Applications'!$E$6:$E$105,F22,'Applications'!$F$6:$F$105,"Offer"))/G22,0)</x:f>
        <x:v>0.5</x:v>
      </x:c>
      <x:c r="I22" s="141"/>
      <x:c r="J22" s="141"/>
      <x:c r="K22" s="164" t="str">
        <x:v>Follow-ups due</x:v>
      </x:c>
      <x:c r="L22" s="165" t="n">
        <x:f>COUNTIFS('Applications'!$J$6:$J$105,"&gt;=1",'Applications'!$J$6:$J$105,"&lt;="&amp;TODAY(),'Applications'!$F$6:$F$105,"&lt;&gt;Rejected",'Applications'!$F$6:$F$105,"&lt;&gt;Withdrawn")</x:f>
        <x:v>0</x:v>
      </x:c>
      <x:c r="M22" s="165" t="str">
        <x:v>COUNTIFS</x:v>
      </x:c>
      <x:c r="N22" s="169" t="str">
        <x:v>Open roles with next follow-up on or before today</x:v>
      </x:c>
    </x:row>
    <x:row r="23">
      <x:c r="A23" s="164" t="str">
        <x:v>Product</x:v>
      </x:c>
      <x:c r="B23" s="165" t="n">
        <x:f>COUNTIF('Applications'!$C$6:$C$105,A23)</x:f>
        <x:v>1</x:v>
      </x:c>
      <x:c r="C23" s="167" t="n">
        <x:f>IFERROR(SUMIFS('Applications'!$K$6:$K$105,'Applications'!$C$6:$C$105,A23)/COUNTIFS('Applications'!$C$6:$C$105,A23,'Applications'!$K$6:$K$105,"&gt;0"),0)</x:f>
        <x:v>8</x:v>
      </x:c>
      <x:c r="D23" s="141"/>
      <x:c r="E23" s="141"/>
      <x:c r="F23" s="164" t="str">
        <x:v>JobsDB</x:v>
      </x:c>
      <x:c r="G23" s="165" t="n">
        <x:f>COUNTIF('Applications'!$E$6:$E$105,F23)</x:f>
        <x:v>1</x:v>
      </x:c>
      <x:c r="H23" s="166" t="n">
        <x:f>IFERROR((COUNTIFS('Applications'!$E$6:$E$105,F23,'Applications'!$F$6:$F$105,"Interview")+COUNTIFS('Applications'!$E$6:$E$105,F23,'Applications'!$F$6:$F$105,"Offer"))/G23,0)</x:f>
        <x:v>0</x:v>
      </x:c>
      <x:c r="I23" s="141"/>
      <x:c r="J23" s="141"/>
      <x:c r="K23" s="164" t="str">
        <x:v>Need referral</x:v>
      </x:c>
      <x:c r="L23" s="165" t="n">
        <x:f>COUNTIFS('Applications'!$G$6:$G$105,"High",'Applications'!$L$6:$L$105,"None")</x:f>
        <x:v>1</x:v>
      </x:c>
      <x:c r="M23" s="165" t="str">
        <x:v>COUNTIFS</x:v>
      </x:c>
      <x:c r="N23" s="169" t="str">
        <x:v>High-priority rows with no referral yet</x:v>
      </x:c>
    </x:row>
    <x:row r="24">
      <x:c r="A24" s="164" t="str">
        <x:v>UX/UI</x:v>
      </x:c>
      <x:c r="B24" s="165" t="n">
        <x:f>COUNTIF('Applications'!$C$6:$C$105,A24)</x:f>
        <x:v>1</x:v>
      </x:c>
      <x:c r="C24" s="167" t="n">
        <x:f>IFERROR(SUMIFS('Applications'!$K$6:$K$105,'Applications'!$C$6:$C$105,A24)/COUNTIFS('Applications'!$C$6:$C$105,A24,'Applications'!$K$6:$K$105,"&gt;0"),0)</x:f>
        <x:v>7</x:v>
      </x:c>
      <x:c r="D24" s="141"/>
      <x:c r="E24" s="141"/>
      <x:c r="F24" s="164" t="str">
        <x:v>Referral</x:v>
      </x:c>
      <x:c r="G24" s="165" t="n">
        <x:f>COUNTIF('Applications'!$E$6:$E$105,F24)</x:f>
        <x:v>1</x:v>
      </x:c>
      <x:c r="H24" s="166" t="n">
        <x:f>IFERROR((COUNTIFS('Applications'!$E$6:$E$105,F24,'Applications'!$F$6:$F$105,"Interview")+COUNTIFS('Applications'!$E$6:$E$105,F24,'Applications'!$F$6:$F$105,"Offer"))/G24,0)</x:f>
        <x:v>0</x:v>
      </x:c>
      <x:c r="I24" s="141"/>
      <x:c r="J24" s="141"/>
      <x:c r="K24" s="164" t="str">
        <x:v>Saved but not applied</x:v>
      </x:c>
      <x:c r="L24" s="165" t="n">
        <x:f>COUNTIF('Applications'!$F$6:$F$105,"Saved")</x:f>
        <x:v>2</x:v>
      </x:c>
      <x:c r="M24" s="165" t="str">
        <x:v>COUNTIF</x:v>
      </x:c>
      <x:c r="N24" s="169" t="str">
        <x:v>Roles to convert into applications</x:v>
      </x:c>
    </x:row>
    <x:row r="25">
      <x:c r="A25" s="164" t="str">
        <x:v>Business</x:v>
      </x:c>
      <x:c r="B25" s="165" t="n">
        <x:f>COUNTIF('Applications'!$C$6:$C$105,A25)</x:f>
        <x:v>1</x:v>
      </x:c>
      <x:c r="C25" s="167" t="n">
        <x:f>IFERROR(SUMIFS('Applications'!$K$6:$K$105,'Applications'!$C$6:$C$105,A25)/COUNTIFS('Applications'!$C$6:$C$105,A25,'Applications'!$K$6:$K$105,"&gt;0"),0)</x:f>
        <x:v>7</x:v>
      </x:c>
      <x:c r="D25" s="141"/>
      <x:c r="E25" s="141"/>
      <x:c r="F25" s="164" t="str">
        <x:v>Campus</x:v>
      </x:c>
      <x:c r="G25" s="165" t="n">
        <x:f>COUNTIF('Applications'!$E$6:$E$105,F25)</x:f>
        <x:v>1</x:v>
      </x:c>
      <x:c r="H25" s="166" t="n">
        <x:f>IFERROR((COUNTIFS('Applications'!$E$6:$E$105,F25,'Applications'!$F$6:$F$105,"Interview")+COUNTIFS('Applications'!$E$6:$E$105,F25,'Applications'!$F$6:$F$105,"Offer"))/G25,0)</x:f>
        <x:v>0</x:v>
      </x:c>
      <x:c r="I25" s="141"/>
      <x:c r="J25" s="141"/>
      <x:c r="K25" s="170" t="str">
        <x:v>Rejected / withdrawn</x:v>
      </x:c>
      <x:c r="L25" s="171" t="n">
        <x:f>COUNTIF('Applications'!$F$6:$F$105,"Rejected")+COUNTIF('Applications'!$F$6:$F$105,"Withdrawn")</x:f>
        <x:v>1</x:v>
      </x:c>
      <x:c r="M25" s="171" t="str">
        <x:v>COUNTIF</x:v>
      </x:c>
      <x:c r="N25" s="175" t="str">
        <x:v>Closed roles to learn from</x:v>
      </x:c>
    </x:row>
    <x:row r="26">
      <x:c r="A26" s="164" t="str">
        <x:v>Cybersecurity</x:v>
      </x:c>
      <x:c r="B26" s="165" t="n">
        <x:f>COUNTIF('Applications'!$C$6:$C$105,A26)</x:f>
        <x:v>1</x:v>
      </x:c>
      <x:c r="C26" s="167" t="n">
        <x:f>IFERROR(SUMIFS('Applications'!$K$6:$K$105,'Applications'!$C$6:$C$105,A26)/COUNTIFS('Applications'!$C$6:$C$105,A26,'Applications'!$K$6:$K$105,"&gt;0"),0)</x:f>
        <x:v>7</x:v>
      </x:c>
      <x:c r="D26" s="141"/>
      <x:c r="E26" s="141"/>
      <x:c r="F26" s="164" t="str">
        <x:v>Event</x:v>
      </x:c>
      <x:c r="G26" s="165" t="n">
        <x:f>COUNTIF('Applications'!$E$6:$E$105,F26)</x:f>
        <x:v>1</x:v>
      </x:c>
      <x:c r="H26" s="166" t="n">
        <x:f>IFERROR((COUNTIFS('Applications'!$E$6:$E$105,F26,'Applications'!$F$6:$F$105,"Interview")+COUNTIFS('Applications'!$E$6:$E$105,F26,'Applications'!$F$6:$F$105,"Offer"))/G26,0)</x:f>
        <x:v>0</x:v>
      </x:c>
      <x:c r="I26" s="141"/>
      <x:c r="J26" s="141"/>
      <x:c r="K26" s="141"/>
      <x:c r="L26" s="141"/>
      <x:c r="M26" s="141"/>
      <x:c r="N26" s="141"/>
    </x:row>
    <x:row r="27">
      <x:c r="A27" s="164" t="str">
        <x:v>AI/ML</x:v>
      </x:c>
      <x:c r="B27" s="165" t="n">
        <x:f>COUNTIF('Applications'!$C$6:$C$105,A27)</x:f>
        <x:v>2</x:v>
      </x:c>
      <x:c r="C27" s="167" t="n">
        <x:f>IFERROR(SUMIFS('Applications'!$K$6:$K$105,'Applications'!$C$6:$C$105,A27)/COUNTIFS('Applications'!$C$6:$C$105,A27,'Applications'!$K$6:$K$105,"&gt;0"),0)</x:f>
        <x:v>8.5</x:v>
      </x:c>
      <x:c r="D27" s="141"/>
      <x:c r="E27" s="141"/>
      <x:c r="F27" s="170" t="str">
        <x:v>Other</x:v>
      </x:c>
      <x:c r="G27" s="171" t="n">
        <x:f>COUNTIF('Applications'!$E$6:$E$105,F27)</x:f>
        <x:v>0</x:v>
      </x:c>
      <x:c r="H27" s="173" t="n">
        <x:f>IFERROR((COUNTIFS('Applications'!$E$6:$E$105,F27,'Applications'!$F$6:$F$105,"Interview")+COUNTIFS('Applications'!$E$6:$E$105,F27,'Applications'!$F$6:$F$105,"Offer"))/G27,0)</x:f>
        <x:v>0</x:v>
      </x:c>
      <x:c r="I27" s="141"/>
      <x:c r="J27" s="141"/>
      <x:c r="K27" s="141"/>
      <x:c r="L27" s="141"/>
      <x:c r="M27" s="141"/>
      <x:c r="N27" s="141"/>
    </x:row>
    <x:row r="28">
      <x:c r="A28" s="170" t="str">
        <x:v>Cloud/DevOps</x:v>
      </x:c>
      <x:c r="B28" s="171" t="n">
        <x:f>COUNTIF('Applications'!$C$6:$C$105,A28)</x:f>
        <x:v>1</x:v>
      </x:c>
      <x:c r="C28" s="172" t="n">
        <x:f>IFERROR(SUMIFS('Applications'!$K$6:$K$105,'Applications'!$C$6:$C$105,A28)/COUNTIFS('Applications'!$C$6:$C$105,A28,'Applications'!$K$6:$K$105,"&gt;0"),0)</x:f>
        <x:v>6</x:v>
      </x:c>
      <x:c r="D28" s="141"/>
      <x:c r="E28" s="141"/>
      <x:c r="F28" s="141"/>
      <x:c r="G28" s="141"/>
      <x:c r="H28" s="141"/>
      <x:c r="I28" s="141"/>
      <x:c r="J28" s="141"/>
      <x:c r="K28" s="141"/>
      <x:c r="L28" s="141"/>
      <x:c r="M28" s="141"/>
      <x:c r="N28" s="141"/>
    </x:row>
  </x:sheetData>
  <x:mergeCells>
    <x:mergeCell ref="A1:N1"/>
    <x:mergeCell ref="A2:N2"/>
    <x:mergeCell ref="A4:B4"/>
    <x:mergeCell ref="C4:D4"/>
    <x:mergeCell ref="F4:G4"/>
    <x:mergeCell ref="H4:I4"/>
    <x:mergeCell ref="K4:L4"/>
    <x:mergeCell ref="M4:N4"/>
    <x:mergeCell ref="A5:B6"/>
    <x:mergeCell ref="C5:D6"/>
    <x:mergeCell ref="F5:G6"/>
    <x:mergeCell ref="H5:I6"/>
    <x:mergeCell ref="K5:L6"/>
    <x:mergeCell ref="M5:N6"/>
  </x:mergeCells>
  <x:pageMargins left="0.7" right="0.7" top="0.75" bottom="0.75" header="0.3" footer="0.3"/>
  <x:drawing xmlns:r="http://schemas.openxmlformats.org/officeDocument/2006/relationships" r:id="R2746262398904c42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4" hidden="0" customWidth="1"/>
    <x:col min="3" max="3" width="18" hidden="0" customWidth="1"/>
    <x:col min="4" max="4" width="16" hidden="0" customWidth="1"/>
    <x:col min="5" max="5" width="16" hidden="0" customWidth="1"/>
    <x:col min="6" max="6" width="15" hidden="0" customWidth="1"/>
    <x:col min="7" max="7" width="12" hidden="0" customWidth="1"/>
    <x:col min="8" max="8" width="13" hidden="0" customWidth="1"/>
    <x:col min="9" max="9" width="13" hidden="0" customWidth="1"/>
    <x:col min="10" max="10" width="14" hidden="0" customWidth="1"/>
    <x:col min="11" max="11" width="10" hidden="0" customWidth="1"/>
    <x:col min="12" max="12" width="20" hidden="0" customWidth="1"/>
    <x:col min="13" max="13" width="34" hidden="0" customWidth="1"/>
    <x:col min="14" max="14" width="36" hidden="0" customWidth="1"/>
  </x:cols>
  <x:sheetData>
    <x:row r="1" ht="34" customHeight="1">
      <x:c r="A1" s="176" t="str">
        <x:v>Thai Big Tech Internship Tracker</x:v>
      </x:c>
      <x:c r="B1" s="176" t="str">
        <x:v>Thai Big Tech Internship Tracker</x:v>
      </x:c>
      <x:c r="C1" s="176" t="str">
        <x:v>Thai Big Tech Internship Tracker</x:v>
      </x:c>
      <x:c r="D1" s="176" t="str">
        <x:v>Thai Big Tech Internship Tracker</x:v>
      </x:c>
      <x:c r="E1" s="176" t="str">
        <x:v>Thai Big Tech Internship Tracker</x:v>
      </x:c>
      <x:c r="F1" s="176" t="str">
        <x:v>Thai Big Tech Internship Tracker</x:v>
      </x:c>
      <x:c r="G1" s="176" t="str">
        <x:v>Thai Big Tech Internship Tracker</x:v>
      </x:c>
      <x:c r="H1" s="176" t="str">
        <x:v>Thai Big Tech Internship Tracker</x:v>
      </x:c>
      <x:c r="I1" s="176" t="str">
        <x:v>Thai Big Tech Internship Tracker</x:v>
      </x:c>
      <x:c r="J1" s="176" t="str">
        <x:v>Thai Big Tech Internship Tracker</x:v>
      </x:c>
      <x:c r="K1" s="176" t="str">
        <x:v>Thai Big Tech Internship Tracker</x:v>
      </x:c>
      <x:c r="L1" s="176" t="str">
        <x:v>Thai Big Tech Internship Tracker</x:v>
      </x:c>
      <x:c r="M1" s="176" t="str">
        <x:v>Thai Big Tech Internship Tracker</x:v>
      </x:c>
      <x:c r="N1" s="176" t="str">
        <x:v>Thai Big Tech Internship Tracker</x:v>
      </x:c>
    </x:row>
    <x:row r="2">
      <x:c r="A2" s="140" t="str">
        <x:v>Update rows 6-105. Dashboard formulas read from this table.</x:v>
      </x:c>
      <x:c r="B2" s="140" t="str">
        <x:v>Update rows 6-105. Dashboard formulas read from this table.</x:v>
      </x:c>
      <x:c r="C2" s="140" t="str">
        <x:v>Update rows 6-105. Dashboard formulas read from this table.</x:v>
      </x:c>
      <x:c r="D2" s="140" t="str">
        <x:v>Update rows 6-105. Dashboard formulas read from this table.</x:v>
      </x:c>
      <x:c r="E2" s="140" t="str">
        <x:v>Update rows 6-105. Dashboard formulas read from this table.</x:v>
      </x:c>
      <x:c r="F2" s="140" t="str">
        <x:v>Update rows 6-105. Dashboard formulas read from this table.</x:v>
      </x:c>
      <x:c r="G2" s="140" t="str">
        <x:v>Update rows 6-105. Dashboard formulas read from this table.</x:v>
      </x:c>
      <x:c r="H2" s="140" t="str">
        <x:v>Update rows 6-105. Dashboard formulas read from this table.</x:v>
      </x:c>
      <x:c r="I2" s="140" t="str">
        <x:v>Update rows 6-105. Dashboard formulas read from this table.</x:v>
      </x:c>
      <x:c r="J2" s="140" t="str">
        <x:v>Update rows 6-105. Dashboard formulas read from this table.</x:v>
      </x:c>
      <x:c r="K2" s="140" t="str">
        <x:v>Update rows 6-105. Dashboard formulas read from this table.</x:v>
      </x:c>
      <x:c r="L2" s="140" t="str">
        <x:v>Update rows 6-105. Dashboard formulas read from this table.</x:v>
      </x:c>
      <x:c r="M2" s="140" t="str">
        <x:v>Update rows 6-105. Dashboard formulas read from this table.</x:v>
      </x:c>
      <x:c r="N2" s="140" t="str">
        <x:v>Update rows 6-105. Dashboard formulas read from this table.</x:v>
      </x:c>
    </x:row>
    <x:row r="3">
      <x:c r="A3" s="141"/>
      <x:c r="B3" s="141"/>
      <x:c r="C3" s="141"/>
      <x:c r="D3" s="141"/>
      <x:c r="E3" s="141"/>
      <x:c r="F3" s="141"/>
      <x:c r="G3" s="141"/>
      <x:c r="H3" s="141"/>
      <x:c r="I3" s="141"/>
      <x:c r="J3" s="141"/>
      <x:c r="K3" s="141"/>
      <x:c r="L3" s="141"/>
      <x:c r="M3" s="141"/>
      <x:c r="N3" s="141"/>
    </x:row>
    <x:row r="4">
      <x:c r="A4" s="177" t="str">
        <x:v>Tip: keep one row per role. Use status and next follow-up to drive the dashboard.</x:v>
      </x:c>
      <x:c r="B4" s="177" t="str">
        <x:v>Tip: keep one row per role. Use status and next follow-up to drive the dashboard.</x:v>
      </x:c>
      <x:c r="C4" s="177" t="str">
        <x:v>Tip: keep one row per role. Use status and next follow-up to drive the dashboard.</x:v>
      </x:c>
      <x:c r="D4" s="177" t="str">
        <x:v>Tip: keep one row per role. Use status and next follow-up to drive the dashboard.</x:v>
      </x:c>
      <x:c r="E4" s="177" t="str">
        <x:v>Tip: keep one row per role. Use status and next follow-up to drive the dashboard.</x:v>
      </x:c>
      <x:c r="F4" s="177" t="str">
        <x:v>Tip: keep one row per role. Use status and next follow-up to drive the dashboard.</x:v>
      </x:c>
      <x:c r="G4" s="177" t="str">
        <x:v>Tip: keep one row per role. Use status and next follow-up to drive the dashboard.</x:v>
      </x:c>
      <x:c r="H4" s="177" t="str">
        <x:v>Tip: keep one row per role. Use status and next follow-up to drive the dashboard.</x:v>
      </x:c>
      <x:c r="I4" s="177" t="str">
        <x:v>Tip: keep one row per role. Use status and next follow-up to drive the dashboard.</x:v>
      </x:c>
      <x:c r="J4" s="177" t="str">
        <x:v>Tip: keep one row per role. Use status and next follow-up to drive the dashboard.</x:v>
      </x:c>
      <x:c r="K4" s="177" t="str">
        <x:v>Tip: keep one row per role. Use status and next follow-up to drive the dashboard.</x:v>
      </x:c>
      <x:c r="L4" s="177" t="str">
        <x:v>Tip: keep one row per role. Use status and next follow-up to drive the dashboard.</x:v>
      </x:c>
      <x:c r="M4" s="177" t="str">
        <x:v>Tip: keep one row per role. Use status and next follow-up to drive the dashboard.</x:v>
      </x:c>
      <x:c r="N4" s="177" t="str">
        <x:v>Tip: keep one row per role. Use status and next follow-up to drive the dashboard.</x:v>
      </x:c>
    </x:row>
    <x:row r="5">
      <x:c r="A5" s="155" t="str">
        <x:v>Company</x:v>
      </x:c>
      <x:c r="B5" s="156" t="str">
        <x:v>Role</x:v>
      </x:c>
      <x:c r="C5" s="156" t="str">
        <x:v>Role Type</x:v>
      </x:c>
      <x:c r="D5" s="156" t="str">
        <x:v>Location / Mode</x:v>
      </x:c>
      <x:c r="E5" s="156" t="str">
        <x:v>Source</x:v>
      </x:c>
      <x:c r="F5" s="156" t="str">
        <x:v>Status</x:v>
      </x:c>
      <x:c r="G5" s="156" t="str">
        <x:v>Priority</x:v>
      </x:c>
      <x:c r="H5" s="156" t="str">
        <x:v>Deadline</x:v>
      </x:c>
      <x:c r="I5" s="156" t="str">
        <x:v>Applied Date</x:v>
      </x:c>
      <x:c r="J5" s="156" t="str">
        <x:v>Next Follow-up</x:v>
      </x:c>
      <x:c r="K5" s="156" t="str">
        <x:v>Fit Score</x:v>
      </x:c>
      <x:c r="L5" s="156" t="str">
        <x:v>Referral</x:v>
      </x:c>
      <x:c r="M5" s="156" t="str">
        <x:v>Link</x:v>
      </x:c>
      <x:c r="N5" s="157" t="str">
        <x:v>Notes</x:v>
      </x:c>
    </x:row>
    <x:row r="6">
      <x:c r="A6" s="158" t="str">
        <x:v>LINE MAN Wongnai</x:v>
      </x:c>
      <x:c r="B6" s="159" t="str">
        <x:v>Software Engineer Intern</x:v>
      </x:c>
      <x:c r="C6" s="159" t="str">
        <x:v>Software Engineer</x:v>
      </x:c>
      <x:c r="D6" s="159" t="str">
        <x:v>Bangkok</x:v>
      </x:c>
      <x:c r="E6" s="159" t="str">
        <x:v>Careers Page</x:v>
      </x:c>
      <x:c r="F6" s="159" t="str">
        <x:v>Applied</x:v>
      </x:c>
      <x:c r="G6" s="159" t="str">
        <x:v>High</x:v>
      </x:c>
      <x:c r="H6" s="162" t="n">
        <x:v>46228</x:v>
      </x:c>
      <x:c r="I6" s="162" t="n">
        <x:v>46208</x:v>
      </x:c>
      <x:c r="J6" s="162" t="n">
        <x:v>46218</x:v>
      </x:c>
      <x:c r="K6" s="178" t="n">
        <x:v>9</x:v>
      </x:c>
      <x:c r="L6" s="159" t="str">
        <x:v>Ploy - Alumni</x:v>
      </x:c>
      <x:c r="M6" s="179" t="str">
        <x:v>https://lmwn.com/careers</x:v>
      </x:c>
      <x:c r="N6" s="163" t="str">
        <x:v>Backend team, food delivery platform</x:v>
      </x:c>
    </x:row>
    <x:row r="7">
      <x:c r="A7" s="164" t="str">
        <x:v>Agoda Thailand</x:v>
      </x:c>
      <x:c r="B7" s="165" t="str">
        <x:v>Data Analyst Intern</x:v>
      </x:c>
      <x:c r="C7" s="165" t="str">
        <x:v>Data</x:v>
      </x:c>
      <x:c r="D7" s="165" t="str">
        <x:v>Bangkok</x:v>
      </x:c>
      <x:c r="E7" s="165" t="str">
        <x:v>LinkedIn</x:v>
      </x:c>
      <x:c r="F7" s="165" t="str">
        <x:v>Interview</x:v>
      </x:c>
      <x:c r="G7" s="165" t="str">
        <x:v>High</x:v>
      </x:c>
      <x:c r="H7" s="168" t="n">
        <x:v>46223</x:v>
      </x:c>
      <x:c r="I7" s="168" t="n">
        <x:v>46204</x:v>
      </x:c>
      <x:c r="J7" s="168" t="n">
        <x:v>46216</x:v>
      </x:c>
      <x:c r="K7" s="180" t="n">
        <x:v>8</x:v>
      </x:c>
      <x:c r="L7" s="165" t="str">
        <x:v>None</x:v>
      </x:c>
      <x:c r="M7" s="181" t="str">
        <x:v>https://careersatagoda.com</x:v>
      </x:c>
      <x:c r="N7" s="169" t="str">
        <x:v>Prepare SQL case and product metrics</x:v>
      </x:c>
    </x:row>
    <x:row r="8">
      <x:c r="A8" s="164" t="str">
        <x:v>Ascend Money / TrueMoney</x:v>
      </x:c>
      <x:c r="B8" s="165" t="str">
        <x:v>Product Intern</x:v>
      </x:c>
      <x:c r="C8" s="165" t="str">
        <x:v>Product</x:v>
      </x:c>
      <x:c r="D8" s="165" t="str">
        <x:v>Hybrid</x:v>
      </x:c>
      <x:c r="E8" s="165" t="str">
        <x:v>Careers Page</x:v>
      </x:c>
      <x:c r="F8" s="165" t="str">
        <x:v>Preparing</x:v>
      </x:c>
      <x:c r="G8" s="165" t="str">
        <x:v>High</x:v>
      </x:c>
      <x:c r="H8" s="168" t="n">
        <x:v>46234</x:v>
      </x:c>
      <x:c r="I8" s="168"/>
      <x:c r="J8" s="168" t="n">
        <x:v>46217</x:v>
      </x:c>
      <x:c r="K8" s="180" t="n">
        <x:v>8</x:v>
      </x:c>
      <x:c r="L8" s="165" t="str">
        <x:v>Somchai - Friend</x:v>
      </x:c>
      <x:c r="M8" s="181" t="str">
        <x:v>https://www.ascendcorp.com/careers</x:v>
      </x:c>
      <x:c r="N8" s="169" t="str">
        <x:v>Customize CV for payments and fintech</x:v>
      </x:c>
    </x:row>
    <x:row r="9">
      <x:c r="A9" s="164" t="str">
        <x:v>KBTG</x:v>
      </x:c>
      <x:c r="B9" s="165" t="str">
        <x:v>AI Engineer Intern</x:v>
      </x:c>
      <x:c r="C9" s="165" t="str">
        <x:v>AI/ML</x:v>
      </x:c>
      <x:c r="D9" s="165" t="str">
        <x:v>Bangkok</x:v>
      </x:c>
      <x:c r="E9" s="165" t="str">
        <x:v>Campus</x:v>
      </x:c>
      <x:c r="F9" s="165" t="str">
        <x:v>OA / Test</x:v>
      </x:c>
      <x:c r="G9" s="165" t="str">
        <x:v>High</x:v>
      </x:c>
      <x:c r="H9" s="168" t="n">
        <x:v>46221</x:v>
      </x:c>
      <x:c r="I9" s="168" t="n">
        <x:v>46206</x:v>
      </x:c>
      <x:c r="J9" s="168" t="n">
        <x:v>46215</x:v>
      </x:c>
      <x:c r="K9" s="180" t="n">
        <x:v>9</x:v>
      </x:c>
      <x:c r="L9" s="165" t="str">
        <x:v>University event</x:v>
      </x:c>
      <x:c r="M9" s="181" t="str">
        <x:v>https://www.kbtg.tech/careers</x:v>
      </x:c>
      <x:c r="N9" s="169" t="str">
        <x:v>Review ML basics and banking use cases</x:v>
      </x:c>
    </x:row>
    <x:row r="10">
      <x:c r="A10" s="164" t="str">
        <x:v>SCB 10X</x:v>
      </x:c>
      <x:c r="B10" s="165" t="str">
        <x:v>Venture Tech Intern</x:v>
      </x:c>
      <x:c r="C10" s="165" t="str">
        <x:v>Business</x:v>
      </x:c>
      <x:c r="D10" s="165" t="str">
        <x:v>Hybrid</x:v>
      </x:c>
      <x:c r="E10" s="165" t="str">
        <x:v>Referral</x:v>
      </x:c>
      <x:c r="F10" s="165" t="str">
        <x:v>Saved</x:v>
      </x:c>
      <x:c r="G10" s="165" t="str">
        <x:v>Medium</x:v>
      </x:c>
      <x:c r="H10" s="168" t="n">
        <x:v>46244</x:v>
      </x:c>
      <x:c r="I10" s="168"/>
      <x:c r="J10" s="168" t="n">
        <x:v>46221</x:v>
      </x:c>
      <x:c r="K10" s="180" t="n">
        <x:v>7</x:v>
      </x:c>
      <x:c r="L10" s="165" t="str">
        <x:v>Mint - LinkedIn</x:v>
      </x:c>
      <x:c r="M10" s="181" t="str">
        <x:v>https://www.scb10x.com/careers</x:v>
      </x:c>
      <x:c r="N10" s="169" t="str">
        <x:v>Needs tailored cover letter</x:v>
      </x:c>
    </x:row>
    <x:row r="11">
      <x:c r="A11" s="164" t="str">
        <x:v>Bitkub</x:v>
      </x:c>
      <x:c r="B11" s="165" t="str">
        <x:v>Cybersecurity Intern</x:v>
      </x:c>
      <x:c r="C11" s="165" t="str">
        <x:v>Cybersecurity</x:v>
      </x:c>
      <x:c r="D11" s="165" t="str">
        <x:v>Bangkok</x:v>
      </x:c>
      <x:c r="E11" s="165" t="str">
        <x:v>JobsDB</x:v>
      </x:c>
      <x:c r="F11" s="165" t="str">
        <x:v>Applied</x:v>
      </x:c>
      <x:c r="G11" s="165" t="str">
        <x:v>Medium</x:v>
      </x:c>
      <x:c r="H11" s="168" t="n">
        <x:v>46231</x:v>
      </x:c>
      <x:c r="I11" s="168" t="n">
        <x:v>46211</x:v>
      </x:c>
      <x:c r="J11" s="168" t="n">
        <x:v>46219</x:v>
      </x:c>
      <x:c r="K11" s="180" t="n">
        <x:v>7</x:v>
      </x:c>
      <x:c r="L11" s="165" t="str">
        <x:v>None</x:v>
      </x:c>
      <x:c r="M11" s="181" t="str">
        <x:v>https://www.bitkub.com/career</x:v>
      </x:c>
      <x:c r="N11" s="169" t="str">
        <x:v>Highlight CTF and security coursework</x:v>
      </x:c>
    </x:row>
    <x:row r="12">
      <x:c r="A12" s="164" t="str">
        <x:v>Sertis</x:v>
      </x:c>
      <x:c r="B12" s="165" t="str">
        <x:v>Machine Learning Intern</x:v>
      </x:c>
      <x:c r="C12" s="165" t="str">
        <x:v>AI/ML</x:v>
      </x:c>
      <x:c r="D12" s="165" t="str">
        <x:v>Bangkok</x:v>
      </x:c>
      <x:c r="E12" s="165" t="str">
        <x:v>Careers Page</x:v>
      </x:c>
      <x:c r="F12" s="165" t="str">
        <x:v>Preparing</x:v>
      </x:c>
      <x:c r="G12" s="165" t="str">
        <x:v>Medium</x:v>
      </x:c>
      <x:c r="H12" s="168" t="n">
        <x:v>46239</x:v>
      </x:c>
      <x:c r="I12" s="168"/>
      <x:c r="J12" s="168" t="n">
        <x:v>46220</x:v>
      </x:c>
      <x:c r="K12" s="180" t="n">
        <x:v>8</x:v>
      </x:c>
      <x:c r="L12" s="165" t="str">
        <x:v>None</x:v>
      </x:c>
      <x:c r="M12" s="181" t="str">
        <x:v>https://www.sertiscorp.com/careers</x:v>
      </x:c>
      <x:c r="N12" s="169" t="str">
        <x:v>Build mini portfolio note</x:v>
      </x:c>
    </x:row>
    <x:row r="13">
      <x:c r="A13" s="164" t="str">
        <x:v>Central Tech</x:v>
      </x:c>
      <x:c r="B13" s="165" t="str">
        <x:v>Cloud Engineer Intern</x:v>
      </x:c>
      <x:c r="C13" s="165" t="str">
        <x:v>Cloud/DevOps</x:v>
      </x:c>
      <x:c r="D13" s="165" t="str">
        <x:v>Hybrid</x:v>
      </x:c>
      <x:c r="E13" s="165" t="str">
        <x:v>LinkedIn</x:v>
      </x:c>
      <x:c r="F13" s="165" t="str">
        <x:v>Saved</x:v>
      </x:c>
      <x:c r="G13" s="165" t="str">
        <x:v>Low</x:v>
      </x:c>
      <x:c r="H13" s="168" t="n">
        <x:v>46246</x:v>
      </x:c>
      <x:c r="I13" s="168"/>
      <x:c r="J13" s="168" t="n">
        <x:v>46223</x:v>
      </x:c>
      <x:c r="K13" s="180" t="n">
        <x:v>6</x:v>
      </x:c>
      <x:c r="L13" s="165" t="str">
        <x:v>None</x:v>
      </x:c>
      <x:c r="M13" s="181" t="str">
        <x:v>https://www.central.tech/careers</x:v>
      </x:c>
      <x:c r="N13" s="169" t="str">
        <x:v>Check tech stack before applying</x:v>
      </x:c>
    </x:row>
    <x:row r="14">
      <x:c r="A14" s="164" t="str">
        <x:v>CP Axtra Digital</x:v>
      </x:c>
      <x:c r="B14" s="165" t="str">
        <x:v>UX Research Intern</x:v>
      </x:c>
      <x:c r="C14" s="165" t="str">
        <x:v>UX/UI</x:v>
      </x:c>
      <x:c r="D14" s="165" t="str">
        <x:v>Bangkok</x:v>
      </x:c>
      <x:c r="E14" s="165" t="str">
        <x:v>Event</x:v>
      </x:c>
      <x:c r="F14" s="165" t="str">
        <x:v>Applied</x:v>
      </x:c>
      <x:c r="G14" s="165" t="str">
        <x:v>Medium</x:v>
      </x:c>
      <x:c r="H14" s="168" t="n">
        <x:v>46233</x:v>
      </x:c>
      <x:c r="I14" s="168" t="n">
        <x:v>46209</x:v>
      </x:c>
      <x:c r="J14" s="168" t="n">
        <x:v>46222</x:v>
      </x:c>
      <x:c r="K14" s="180" t="n">
        <x:v>7</x:v>
      </x:c>
      <x:c r="L14" s="165" t="str">
        <x:v>Recruiter event</x:v>
      </x:c>
      <x:c r="M14" s="181" t="str">
        <x:v>https://www.cpaxtra.com/en/careers</x:v>
      </x:c>
      <x:c r="N14" s="169" t="str">
        <x:v>Retail tech research angle</x:v>
      </x:c>
    </x:row>
    <x:row r="15">
      <x:c r="A15" s="164" t="str">
        <x:v>True Digital Group</x:v>
      </x:c>
      <x:c r="B15" s="165" t="str">
        <x:v>Software Engineer Intern</x:v>
      </x:c>
      <x:c r="C15" s="165" t="str">
        <x:v>Software Engineer</x:v>
      </x:c>
      <x:c r="D15" s="165" t="str">
        <x:v>Bangkok</x:v>
      </x:c>
      <x:c r="E15" s="165" t="str">
        <x:v>Careers Page</x:v>
      </x:c>
      <x:c r="F15" s="165" t="str">
        <x:v>Rejected</x:v>
      </x:c>
      <x:c r="G15" s="165" t="str">
        <x:v>Low</x:v>
      </x:c>
      <x:c r="H15" s="168" t="n">
        <x:v>46218</x:v>
      </x:c>
      <x:c r="I15" s="168" t="n">
        <x:v>46198</x:v>
      </x:c>
      <x:c r="J15" s="168"/>
      <x:c r="K15" s="180" t="n">
        <x:v>6</x:v>
      </x:c>
      <x:c r="L15" s="165" t="str">
        <x:v>None</x:v>
      </x:c>
      <x:c r="M15" s="181" t="str">
        <x:v>https://www.truedigital.com/careers</x:v>
      </x:c>
      <x:c r="N15" s="169" t="str">
        <x:v>Keep contact warm for next cycle</x:v>
      </x:c>
    </x:row>
    <x:row r="16">
      <x:c r="A16" s="164"/>
      <x:c r="B16" s="165"/>
      <x:c r="C16" s="165"/>
      <x:c r="D16" s="165"/>
      <x:c r="E16" s="165"/>
      <x:c r="F16" s="165"/>
      <x:c r="G16" s="165"/>
      <x:c r="H16" s="168"/>
      <x:c r="I16" s="168"/>
      <x:c r="J16" s="168"/>
      <x:c r="K16" s="180"/>
      <x:c r="L16" s="165"/>
      <x:c r="M16" s="181"/>
      <x:c r="N16" s="169"/>
    </x:row>
    <x:row r="17">
      <x:c r="A17" s="164"/>
      <x:c r="B17" s="165"/>
      <x:c r="C17" s="165"/>
      <x:c r="D17" s="165"/>
      <x:c r="E17" s="165"/>
      <x:c r="F17" s="165"/>
      <x:c r="G17" s="165"/>
      <x:c r="H17" s="168"/>
      <x:c r="I17" s="168"/>
      <x:c r="J17" s="168"/>
      <x:c r="K17" s="180"/>
      <x:c r="L17" s="165"/>
      <x:c r="M17" s="181"/>
      <x:c r="N17" s="169"/>
    </x:row>
    <x:row r="18">
      <x:c r="A18" s="164"/>
      <x:c r="B18" s="165"/>
      <x:c r="C18" s="165"/>
      <x:c r="D18" s="165"/>
      <x:c r="E18" s="165"/>
      <x:c r="F18" s="165"/>
      <x:c r="G18" s="165"/>
      <x:c r="H18" s="168"/>
      <x:c r="I18" s="168"/>
      <x:c r="J18" s="168"/>
      <x:c r="K18" s="180"/>
      <x:c r="L18" s="165"/>
      <x:c r="M18" s="181"/>
      <x:c r="N18" s="169"/>
    </x:row>
    <x:row r="19">
      <x:c r="A19" s="164"/>
      <x:c r="B19" s="165"/>
      <x:c r="C19" s="165"/>
      <x:c r="D19" s="165"/>
      <x:c r="E19" s="165"/>
      <x:c r="F19" s="165"/>
      <x:c r="G19" s="165"/>
      <x:c r="H19" s="168"/>
      <x:c r="I19" s="168"/>
      <x:c r="J19" s="168"/>
      <x:c r="K19" s="180"/>
      <x:c r="L19" s="165"/>
      <x:c r="M19" s="181"/>
      <x:c r="N19" s="169"/>
    </x:row>
    <x:row r="20">
      <x:c r="A20" s="164"/>
      <x:c r="B20" s="165"/>
      <x:c r="C20" s="165"/>
      <x:c r="D20" s="165"/>
      <x:c r="E20" s="165"/>
      <x:c r="F20" s="165"/>
      <x:c r="G20" s="165"/>
      <x:c r="H20" s="168"/>
      <x:c r="I20" s="168"/>
      <x:c r="J20" s="168"/>
      <x:c r="K20" s="180"/>
      <x:c r="L20" s="165"/>
      <x:c r="M20" s="181"/>
      <x:c r="N20" s="169"/>
    </x:row>
    <x:row r="21">
      <x:c r="A21" s="164"/>
      <x:c r="B21" s="165"/>
      <x:c r="C21" s="165"/>
      <x:c r="D21" s="165"/>
      <x:c r="E21" s="165"/>
      <x:c r="F21" s="165"/>
      <x:c r="G21" s="165"/>
      <x:c r="H21" s="168"/>
      <x:c r="I21" s="168"/>
      <x:c r="J21" s="168"/>
      <x:c r="K21" s="180"/>
      <x:c r="L21" s="165"/>
      <x:c r="M21" s="181"/>
      <x:c r="N21" s="169"/>
    </x:row>
    <x:row r="22">
      <x:c r="A22" s="164"/>
      <x:c r="B22" s="165"/>
      <x:c r="C22" s="165"/>
      <x:c r="D22" s="165"/>
      <x:c r="E22" s="165"/>
      <x:c r="F22" s="165"/>
      <x:c r="G22" s="165"/>
      <x:c r="H22" s="168"/>
      <x:c r="I22" s="168"/>
      <x:c r="J22" s="168"/>
      <x:c r="K22" s="180"/>
      <x:c r="L22" s="165"/>
      <x:c r="M22" s="181"/>
      <x:c r="N22" s="169"/>
    </x:row>
    <x:row r="23">
      <x:c r="A23" s="164"/>
      <x:c r="B23" s="165"/>
      <x:c r="C23" s="165"/>
      <x:c r="D23" s="165"/>
      <x:c r="E23" s="165"/>
      <x:c r="F23" s="165"/>
      <x:c r="G23" s="165"/>
      <x:c r="H23" s="168"/>
      <x:c r="I23" s="168"/>
      <x:c r="J23" s="168"/>
      <x:c r="K23" s="180"/>
      <x:c r="L23" s="165"/>
      <x:c r="M23" s="181"/>
      <x:c r="N23" s="169"/>
    </x:row>
    <x:row r="24">
      <x:c r="A24" s="164"/>
      <x:c r="B24" s="165"/>
      <x:c r="C24" s="165"/>
      <x:c r="D24" s="165"/>
      <x:c r="E24" s="165"/>
      <x:c r="F24" s="165"/>
      <x:c r="G24" s="165"/>
      <x:c r="H24" s="168"/>
      <x:c r="I24" s="168"/>
      <x:c r="J24" s="168"/>
      <x:c r="K24" s="180"/>
      <x:c r="L24" s="165"/>
      <x:c r="M24" s="181"/>
      <x:c r="N24" s="169"/>
    </x:row>
    <x:row r="25">
      <x:c r="A25" s="164"/>
      <x:c r="B25" s="165"/>
      <x:c r="C25" s="165"/>
      <x:c r="D25" s="165"/>
      <x:c r="E25" s="165"/>
      <x:c r="F25" s="165"/>
      <x:c r="G25" s="165"/>
      <x:c r="H25" s="168"/>
      <x:c r="I25" s="168"/>
      <x:c r="J25" s="168"/>
      <x:c r="K25" s="180"/>
      <x:c r="L25" s="165"/>
      <x:c r="M25" s="181"/>
      <x:c r="N25" s="169"/>
    </x:row>
    <x:row r="26">
      <x:c r="A26" s="164"/>
      <x:c r="B26" s="165"/>
      <x:c r="C26" s="165"/>
      <x:c r="D26" s="165"/>
      <x:c r="E26" s="165"/>
      <x:c r="F26" s="165"/>
      <x:c r="G26" s="165"/>
      <x:c r="H26" s="168"/>
      <x:c r="I26" s="168"/>
      <x:c r="J26" s="168"/>
      <x:c r="K26" s="180"/>
      <x:c r="L26" s="165"/>
      <x:c r="M26" s="181"/>
      <x:c r="N26" s="169"/>
    </x:row>
    <x:row r="27">
      <x:c r="A27" s="164"/>
      <x:c r="B27" s="165"/>
      <x:c r="C27" s="165"/>
      <x:c r="D27" s="165"/>
      <x:c r="E27" s="165"/>
      <x:c r="F27" s="165"/>
      <x:c r="G27" s="165"/>
      <x:c r="H27" s="168"/>
      <x:c r="I27" s="168"/>
      <x:c r="J27" s="168"/>
      <x:c r="K27" s="180"/>
      <x:c r="L27" s="165"/>
      <x:c r="M27" s="181"/>
      <x:c r="N27" s="169"/>
    </x:row>
    <x:row r="28">
      <x:c r="A28" s="164"/>
      <x:c r="B28" s="165"/>
      <x:c r="C28" s="165"/>
      <x:c r="D28" s="165"/>
      <x:c r="E28" s="165"/>
      <x:c r="F28" s="165"/>
      <x:c r="G28" s="165"/>
      <x:c r="H28" s="168"/>
      <x:c r="I28" s="168"/>
      <x:c r="J28" s="168"/>
      <x:c r="K28" s="180"/>
      <x:c r="L28" s="165"/>
      <x:c r="M28" s="181"/>
      <x:c r="N28" s="169"/>
    </x:row>
    <x:row r="29">
      <x:c r="A29" s="164"/>
      <x:c r="B29" s="165"/>
      <x:c r="C29" s="165"/>
      <x:c r="D29" s="165"/>
      <x:c r="E29" s="165"/>
      <x:c r="F29" s="165"/>
      <x:c r="G29" s="165"/>
      <x:c r="H29" s="168"/>
      <x:c r="I29" s="168"/>
      <x:c r="J29" s="168"/>
      <x:c r="K29" s="180"/>
      <x:c r="L29" s="165"/>
      <x:c r="M29" s="181"/>
      <x:c r="N29" s="169"/>
    </x:row>
    <x:row r="30">
      <x:c r="A30" s="164"/>
      <x:c r="B30" s="165"/>
      <x:c r="C30" s="165"/>
      <x:c r="D30" s="165"/>
      <x:c r="E30" s="165"/>
      <x:c r="F30" s="165"/>
      <x:c r="G30" s="165"/>
      <x:c r="H30" s="168"/>
      <x:c r="I30" s="168"/>
      <x:c r="J30" s="168"/>
      <x:c r="K30" s="180"/>
      <x:c r="L30" s="165"/>
      <x:c r="M30" s="181"/>
      <x:c r="N30" s="169"/>
    </x:row>
    <x:row r="31">
      <x:c r="A31" s="164"/>
      <x:c r="B31" s="165"/>
      <x:c r="C31" s="165"/>
      <x:c r="D31" s="165"/>
      <x:c r="E31" s="165"/>
      <x:c r="F31" s="165"/>
      <x:c r="G31" s="165"/>
      <x:c r="H31" s="168"/>
      <x:c r="I31" s="168"/>
      <x:c r="J31" s="168"/>
      <x:c r="K31" s="180"/>
      <x:c r="L31" s="165"/>
      <x:c r="M31" s="181"/>
      <x:c r="N31" s="169"/>
    </x:row>
    <x:row r="32">
      <x:c r="A32" s="164"/>
      <x:c r="B32" s="165"/>
      <x:c r="C32" s="165"/>
      <x:c r="D32" s="165"/>
      <x:c r="E32" s="165"/>
      <x:c r="F32" s="165"/>
      <x:c r="G32" s="165"/>
      <x:c r="H32" s="168"/>
      <x:c r="I32" s="168"/>
      <x:c r="J32" s="168"/>
      <x:c r="K32" s="180"/>
      <x:c r="L32" s="165"/>
      <x:c r="M32" s="181"/>
      <x:c r="N32" s="169"/>
    </x:row>
    <x:row r="33">
      <x:c r="A33" s="164"/>
      <x:c r="B33" s="165"/>
      <x:c r="C33" s="165"/>
      <x:c r="D33" s="165"/>
      <x:c r="E33" s="165"/>
      <x:c r="F33" s="165"/>
      <x:c r="G33" s="165"/>
      <x:c r="H33" s="168"/>
      <x:c r="I33" s="168"/>
      <x:c r="J33" s="168"/>
      <x:c r="K33" s="180"/>
      <x:c r="L33" s="165"/>
      <x:c r="M33" s="181"/>
      <x:c r="N33" s="169"/>
    </x:row>
    <x:row r="34">
      <x:c r="A34" s="164"/>
      <x:c r="B34" s="165"/>
      <x:c r="C34" s="165"/>
      <x:c r="D34" s="165"/>
      <x:c r="E34" s="165"/>
      <x:c r="F34" s="165"/>
      <x:c r="G34" s="165"/>
      <x:c r="H34" s="168"/>
      <x:c r="I34" s="168"/>
      <x:c r="J34" s="168"/>
      <x:c r="K34" s="180"/>
      <x:c r="L34" s="165"/>
      <x:c r="M34" s="181"/>
      <x:c r="N34" s="169"/>
    </x:row>
    <x:row r="35">
      <x:c r="A35" s="164"/>
      <x:c r="B35" s="165"/>
      <x:c r="C35" s="165"/>
      <x:c r="D35" s="165"/>
      <x:c r="E35" s="165"/>
      <x:c r="F35" s="165"/>
      <x:c r="G35" s="165"/>
      <x:c r="H35" s="168"/>
      <x:c r="I35" s="168"/>
      <x:c r="J35" s="168"/>
      <x:c r="K35" s="180"/>
      <x:c r="L35" s="165"/>
      <x:c r="M35" s="181"/>
      <x:c r="N35" s="169"/>
    </x:row>
    <x:row r="36">
      <x:c r="A36" s="164"/>
      <x:c r="B36" s="165"/>
      <x:c r="C36" s="165"/>
      <x:c r="D36" s="165"/>
      <x:c r="E36" s="165"/>
      <x:c r="F36" s="165"/>
      <x:c r="G36" s="165"/>
      <x:c r="H36" s="168"/>
      <x:c r="I36" s="168"/>
      <x:c r="J36" s="168"/>
      <x:c r="K36" s="180"/>
      <x:c r="L36" s="165"/>
      <x:c r="M36" s="181"/>
      <x:c r="N36" s="169"/>
    </x:row>
    <x:row r="37">
      <x:c r="A37" s="164"/>
      <x:c r="B37" s="165"/>
      <x:c r="C37" s="165"/>
      <x:c r="D37" s="165"/>
      <x:c r="E37" s="165"/>
      <x:c r="F37" s="165"/>
      <x:c r="G37" s="165"/>
      <x:c r="H37" s="168"/>
      <x:c r="I37" s="168"/>
      <x:c r="J37" s="168"/>
      <x:c r="K37" s="180"/>
      <x:c r="L37" s="165"/>
      <x:c r="M37" s="181"/>
      <x:c r="N37" s="169"/>
    </x:row>
    <x:row r="38">
      <x:c r="A38" s="164"/>
      <x:c r="B38" s="165"/>
      <x:c r="C38" s="165"/>
      <x:c r="D38" s="165"/>
      <x:c r="E38" s="165"/>
      <x:c r="F38" s="165"/>
      <x:c r="G38" s="165"/>
      <x:c r="H38" s="168"/>
      <x:c r="I38" s="168"/>
      <x:c r="J38" s="168"/>
      <x:c r="K38" s="180"/>
      <x:c r="L38" s="165"/>
      <x:c r="M38" s="181"/>
      <x:c r="N38" s="169"/>
    </x:row>
    <x:row r="39">
      <x:c r="A39" s="164"/>
      <x:c r="B39" s="165"/>
      <x:c r="C39" s="165"/>
      <x:c r="D39" s="165"/>
      <x:c r="E39" s="165"/>
      <x:c r="F39" s="165"/>
      <x:c r="G39" s="165"/>
      <x:c r="H39" s="168"/>
      <x:c r="I39" s="168"/>
      <x:c r="J39" s="168"/>
      <x:c r="K39" s="180"/>
      <x:c r="L39" s="165"/>
      <x:c r="M39" s="181"/>
      <x:c r="N39" s="169"/>
    </x:row>
    <x:row r="40">
      <x:c r="A40" s="164"/>
      <x:c r="B40" s="165"/>
      <x:c r="C40" s="165"/>
      <x:c r="D40" s="165"/>
      <x:c r="E40" s="165"/>
      <x:c r="F40" s="165"/>
      <x:c r="G40" s="165"/>
      <x:c r="H40" s="168"/>
      <x:c r="I40" s="168"/>
      <x:c r="J40" s="168"/>
      <x:c r="K40" s="180"/>
      <x:c r="L40" s="165"/>
      <x:c r="M40" s="181"/>
      <x:c r="N40" s="169"/>
    </x:row>
    <x:row r="41">
      <x:c r="A41" s="164"/>
      <x:c r="B41" s="165"/>
      <x:c r="C41" s="165"/>
      <x:c r="D41" s="165"/>
      <x:c r="E41" s="165"/>
      <x:c r="F41" s="165"/>
      <x:c r="G41" s="165"/>
      <x:c r="H41" s="168"/>
      <x:c r="I41" s="168"/>
      <x:c r="J41" s="168"/>
      <x:c r="K41" s="180"/>
      <x:c r="L41" s="165"/>
      <x:c r="M41" s="181"/>
      <x:c r="N41" s="169"/>
    </x:row>
    <x:row r="42">
      <x:c r="A42" s="164"/>
      <x:c r="B42" s="165"/>
      <x:c r="C42" s="165"/>
      <x:c r="D42" s="165"/>
      <x:c r="E42" s="165"/>
      <x:c r="F42" s="165"/>
      <x:c r="G42" s="165"/>
      <x:c r="H42" s="168"/>
      <x:c r="I42" s="168"/>
      <x:c r="J42" s="168"/>
      <x:c r="K42" s="180"/>
      <x:c r="L42" s="165"/>
      <x:c r="M42" s="181"/>
      <x:c r="N42" s="169"/>
    </x:row>
    <x:row r="43">
      <x:c r="A43" s="164"/>
      <x:c r="B43" s="165"/>
      <x:c r="C43" s="165"/>
      <x:c r="D43" s="165"/>
      <x:c r="E43" s="165"/>
      <x:c r="F43" s="165"/>
      <x:c r="G43" s="165"/>
      <x:c r="H43" s="168"/>
      <x:c r="I43" s="168"/>
      <x:c r="J43" s="168"/>
      <x:c r="K43" s="180"/>
      <x:c r="L43" s="165"/>
      <x:c r="M43" s="181"/>
      <x:c r="N43" s="169"/>
    </x:row>
    <x:row r="44">
      <x:c r="A44" s="164"/>
      <x:c r="B44" s="165"/>
      <x:c r="C44" s="165"/>
      <x:c r="D44" s="165"/>
      <x:c r="E44" s="165"/>
      <x:c r="F44" s="165"/>
      <x:c r="G44" s="165"/>
      <x:c r="H44" s="168"/>
      <x:c r="I44" s="168"/>
      <x:c r="J44" s="168"/>
      <x:c r="K44" s="180"/>
      <x:c r="L44" s="165"/>
      <x:c r="M44" s="181"/>
      <x:c r="N44" s="169"/>
    </x:row>
    <x:row r="45">
      <x:c r="A45" s="164"/>
      <x:c r="B45" s="165"/>
      <x:c r="C45" s="165"/>
      <x:c r="D45" s="165"/>
      <x:c r="E45" s="165"/>
      <x:c r="F45" s="165"/>
      <x:c r="G45" s="165"/>
      <x:c r="H45" s="168"/>
      <x:c r="I45" s="168"/>
      <x:c r="J45" s="168"/>
      <x:c r="K45" s="180"/>
      <x:c r="L45" s="165"/>
      <x:c r="M45" s="181"/>
      <x:c r="N45" s="169"/>
    </x:row>
    <x:row r="46">
      <x:c r="A46" s="164"/>
      <x:c r="B46" s="165"/>
      <x:c r="C46" s="165"/>
      <x:c r="D46" s="165"/>
      <x:c r="E46" s="165"/>
      <x:c r="F46" s="165"/>
      <x:c r="G46" s="165"/>
      <x:c r="H46" s="168"/>
      <x:c r="I46" s="168"/>
      <x:c r="J46" s="168"/>
      <x:c r="K46" s="180"/>
      <x:c r="L46" s="165"/>
      <x:c r="M46" s="181"/>
      <x:c r="N46" s="169"/>
    </x:row>
    <x:row r="47">
      <x:c r="A47" s="164"/>
      <x:c r="B47" s="165"/>
      <x:c r="C47" s="165"/>
      <x:c r="D47" s="165"/>
      <x:c r="E47" s="165"/>
      <x:c r="F47" s="165"/>
      <x:c r="G47" s="165"/>
      <x:c r="H47" s="168"/>
      <x:c r="I47" s="168"/>
      <x:c r="J47" s="168"/>
      <x:c r="K47" s="180"/>
      <x:c r="L47" s="165"/>
      <x:c r="M47" s="181"/>
      <x:c r="N47" s="169"/>
    </x:row>
    <x:row r="48">
      <x:c r="A48" s="164"/>
      <x:c r="B48" s="165"/>
      <x:c r="C48" s="165"/>
      <x:c r="D48" s="165"/>
      <x:c r="E48" s="165"/>
      <x:c r="F48" s="165"/>
      <x:c r="G48" s="165"/>
      <x:c r="H48" s="168"/>
      <x:c r="I48" s="168"/>
      <x:c r="J48" s="168"/>
      <x:c r="K48" s="180"/>
      <x:c r="L48" s="165"/>
      <x:c r="M48" s="181"/>
      <x:c r="N48" s="169"/>
    </x:row>
    <x:row r="49">
      <x:c r="A49" s="164"/>
      <x:c r="B49" s="165"/>
      <x:c r="C49" s="165"/>
      <x:c r="D49" s="165"/>
      <x:c r="E49" s="165"/>
      <x:c r="F49" s="165"/>
      <x:c r="G49" s="165"/>
      <x:c r="H49" s="168"/>
      <x:c r="I49" s="168"/>
      <x:c r="J49" s="168"/>
      <x:c r="K49" s="180"/>
      <x:c r="L49" s="165"/>
      <x:c r="M49" s="181"/>
      <x:c r="N49" s="169"/>
    </x:row>
    <x:row r="50">
      <x:c r="A50" s="164"/>
      <x:c r="B50" s="165"/>
      <x:c r="C50" s="165"/>
      <x:c r="D50" s="165"/>
      <x:c r="E50" s="165"/>
      <x:c r="F50" s="165"/>
      <x:c r="G50" s="165"/>
      <x:c r="H50" s="168"/>
      <x:c r="I50" s="168"/>
      <x:c r="J50" s="168"/>
      <x:c r="K50" s="180"/>
      <x:c r="L50" s="165"/>
      <x:c r="M50" s="181"/>
      <x:c r="N50" s="169"/>
    </x:row>
    <x:row r="51">
      <x:c r="A51" s="164"/>
      <x:c r="B51" s="165"/>
      <x:c r="C51" s="165"/>
      <x:c r="D51" s="165"/>
      <x:c r="E51" s="165"/>
      <x:c r="F51" s="165"/>
      <x:c r="G51" s="165"/>
      <x:c r="H51" s="168"/>
      <x:c r="I51" s="168"/>
      <x:c r="J51" s="168"/>
      <x:c r="K51" s="180"/>
      <x:c r="L51" s="165"/>
      <x:c r="M51" s="181"/>
      <x:c r="N51" s="169"/>
    </x:row>
    <x:row r="52">
      <x:c r="A52" s="164"/>
      <x:c r="B52" s="165"/>
      <x:c r="C52" s="165"/>
      <x:c r="D52" s="165"/>
      <x:c r="E52" s="165"/>
      <x:c r="F52" s="165"/>
      <x:c r="G52" s="165"/>
      <x:c r="H52" s="168"/>
      <x:c r="I52" s="168"/>
      <x:c r="J52" s="168"/>
      <x:c r="K52" s="180"/>
      <x:c r="L52" s="165"/>
      <x:c r="M52" s="181"/>
      <x:c r="N52" s="169"/>
    </x:row>
    <x:row r="53">
      <x:c r="A53" s="164"/>
      <x:c r="B53" s="165"/>
      <x:c r="C53" s="165"/>
      <x:c r="D53" s="165"/>
      <x:c r="E53" s="165"/>
      <x:c r="F53" s="165"/>
      <x:c r="G53" s="165"/>
      <x:c r="H53" s="168"/>
      <x:c r="I53" s="168"/>
      <x:c r="J53" s="168"/>
      <x:c r="K53" s="180"/>
      <x:c r="L53" s="165"/>
      <x:c r="M53" s="181"/>
      <x:c r="N53" s="169"/>
    </x:row>
    <x:row r="54">
      <x:c r="A54" s="164"/>
      <x:c r="B54" s="165"/>
      <x:c r="C54" s="165"/>
      <x:c r="D54" s="165"/>
      <x:c r="E54" s="165"/>
      <x:c r="F54" s="165"/>
      <x:c r="G54" s="165"/>
      <x:c r="H54" s="168"/>
      <x:c r="I54" s="168"/>
      <x:c r="J54" s="168"/>
      <x:c r="K54" s="180"/>
      <x:c r="L54" s="165"/>
      <x:c r="M54" s="181"/>
      <x:c r="N54" s="169"/>
    </x:row>
    <x:row r="55">
      <x:c r="A55" s="164"/>
      <x:c r="B55" s="165"/>
      <x:c r="C55" s="165"/>
      <x:c r="D55" s="165"/>
      <x:c r="E55" s="165"/>
      <x:c r="F55" s="165"/>
      <x:c r="G55" s="165"/>
      <x:c r="H55" s="168"/>
      <x:c r="I55" s="168"/>
      <x:c r="J55" s="168"/>
      <x:c r="K55" s="180"/>
      <x:c r="L55" s="165"/>
      <x:c r="M55" s="181"/>
      <x:c r="N55" s="169"/>
    </x:row>
    <x:row r="56">
      <x:c r="A56" s="164"/>
      <x:c r="B56" s="165"/>
      <x:c r="C56" s="165"/>
      <x:c r="D56" s="165"/>
      <x:c r="E56" s="165"/>
      <x:c r="F56" s="165"/>
      <x:c r="G56" s="165"/>
      <x:c r="H56" s="168"/>
      <x:c r="I56" s="168"/>
      <x:c r="J56" s="168"/>
      <x:c r="K56" s="180"/>
      <x:c r="L56" s="165"/>
      <x:c r="M56" s="181"/>
      <x:c r="N56" s="169"/>
    </x:row>
    <x:row r="57">
      <x:c r="A57" s="164"/>
      <x:c r="B57" s="165"/>
      <x:c r="C57" s="165"/>
      <x:c r="D57" s="165"/>
      <x:c r="E57" s="165"/>
      <x:c r="F57" s="165"/>
      <x:c r="G57" s="165"/>
      <x:c r="H57" s="168"/>
      <x:c r="I57" s="168"/>
      <x:c r="J57" s="168"/>
      <x:c r="K57" s="180"/>
      <x:c r="L57" s="165"/>
      <x:c r="M57" s="181"/>
      <x:c r="N57" s="169"/>
    </x:row>
    <x:row r="58">
      <x:c r="A58" s="164"/>
      <x:c r="B58" s="165"/>
      <x:c r="C58" s="165"/>
      <x:c r="D58" s="165"/>
      <x:c r="E58" s="165"/>
      <x:c r="F58" s="165"/>
      <x:c r="G58" s="165"/>
      <x:c r="H58" s="168"/>
      <x:c r="I58" s="168"/>
      <x:c r="J58" s="168"/>
      <x:c r="K58" s="180"/>
      <x:c r="L58" s="165"/>
      <x:c r="M58" s="181"/>
      <x:c r="N58" s="169"/>
    </x:row>
    <x:row r="59">
      <x:c r="A59" s="164"/>
      <x:c r="B59" s="165"/>
      <x:c r="C59" s="165"/>
      <x:c r="D59" s="165"/>
      <x:c r="E59" s="165"/>
      <x:c r="F59" s="165"/>
      <x:c r="G59" s="165"/>
      <x:c r="H59" s="168"/>
      <x:c r="I59" s="168"/>
      <x:c r="J59" s="168"/>
      <x:c r="K59" s="180"/>
      <x:c r="L59" s="165"/>
      <x:c r="M59" s="181"/>
      <x:c r="N59" s="169"/>
    </x:row>
    <x:row r="60">
      <x:c r="A60" s="164"/>
      <x:c r="B60" s="165"/>
      <x:c r="C60" s="165"/>
      <x:c r="D60" s="165"/>
      <x:c r="E60" s="165"/>
      <x:c r="F60" s="165"/>
      <x:c r="G60" s="165"/>
      <x:c r="H60" s="168"/>
      <x:c r="I60" s="168"/>
      <x:c r="J60" s="168"/>
      <x:c r="K60" s="180"/>
      <x:c r="L60" s="165"/>
      <x:c r="M60" s="181"/>
      <x:c r="N60" s="169"/>
    </x:row>
    <x:row r="61">
      <x:c r="A61" s="164"/>
      <x:c r="B61" s="165"/>
      <x:c r="C61" s="165"/>
      <x:c r="D61" s="165"/>
      <x:c r="E61" s="165"/>
      <x:c r="F61" s="165"/>
      <x:c r="G61" s="165"/>
      <x:c r="H61" s="168"/>
      <x:c r="I61" s="168"/>
      <x:c r="J61" s="168"/>
      <x:c r="K61" s="180"/>
      <x:c r="L61" s="165"/>
      <x:c r="M61" s="181"/>
      <x:c r="N61" s="169"/>
    </x:row>
    <x:row r="62">
      <x:c r="A62" s="164"/>
      <x:c r="B62" s="165"/>
      <x:c r="C62" s="165"/>
      <x:c r="D62" s="165"/>
      <x:c r="E62" s="165"/>
      <x:c r="F62" s="165"/>
      <x:c r="G62" s="165"/>
      <x:c r="H62" s="168"/>
      <x:c r="I62" s="168"/>
      <x:c r="J62" s="168"/>
      <x:c r="K62" s="180"/>
      <x:c r="L62" s="165"/>
      <x:c r="M62" s="181"/>
      <x:c r="N62" s="169"/>
    </x:row>
    <x:row r="63">
      <x:c r="A63" s="164"/>
      <x:c r="B63" s="165"/>
      <x:c r="C63" s="165"/>
      <x:c r="D63" s="165"/>
      <x:c r="E63" s="165"/>
      <x:c r="F63" s="165"/>
      <x:c r="G63" s="165"/>
      <x:c r="H63" s="168"/>
      <x:c r="I63" s="168"/>
      <x:c r="J63" s="168"/>
      <x:c r="K63" s="180"/>
      <x:c r="L63" s="165"/>
      <x:c r="M63" s="181"/>
      <x:c r="N63" s="169"/>
    </x:row>
    <x:row r="64">
      <x:c r="A64" s="164"/>
      <x:c r="B64" s="165"/>
      <x:c r="C64" s="165"/>
      <x:c r="D64" s="165"/>
      <x:c r="E64" s="165"/>
      <x:c r="F64" s="165"/>
      <x:c r="G64" s="165"/>
      <x:c r="H64" s="168"/>
      <x:c r="I64" s="168"/>
      <x:c r="J64" s="168"/>
      <x:c r="K64" s="180"/>
      <x:c r="L64" s="165"/>
      <x:c r="M64" s="181"/>
      <x:c r="N64" s="169"/>
    </x:row>
    <x:row r="65">
      <x:c r="A65" s="164"/>
      <x:c r="B65" s="165"/>
      <x:c r="C65" s="165"/>
      <x:c r="D65" s="165"/>
      <x:c r="E65" s="165"/>
      <x:c r="F65" s="165"/>
      <x:c r="G65" s="165"/>
      <x:c r="H65" s="168"/>
      <x:c r="I65" s="168"/>
      <x:c r="J65" s="168"/>
      <x:c r="K65" s="180"/>
      <x:c r="L65" s="165"/>
      <x:c r="M65" s="181"/>
      <x:c r="N65" s="169"/>
    </x:row>
    <x:row r="66">
      <x:c r="A66" s="164"/>
      <x:c r="B66" s="165"/>
      <x:c r="C66" s="165"/>
      <x:c r="D66" s="165"/>
      <x:c r="E66" s="165"/>
      <x:c r="F66" s="165"/>
      <x:c r="G66" s="165"/>
      <x:c r="H66" s="168"/>
      <x:c r="I66" s="168"/>
      <x:c r="J66" s="168"/>
      <x:c r="K66" s="180"/>
      <x:c r="L66" s="165"/>
      <x:c r="M66" s="181"/>
      <x:c r="N66" s="169"/>
    </x:row>
    <x:row r="67">
      <x:c r="A67" s="164"/>
      <x:c r="B67" s="165"/>
      <x:c r="C67" s="165"/>
      <x:c r="D67" s="165"/>
      <x:c r="E67" s="165"/>
      <x:c r="F67" s="165"/>
      <x:c r="G67" s="165"/>
      <x:c r="H67" s="168"/>
      <x:c r="I67" s="168"/>
      <x:c r="J67" s="168"/>
      <x:c r="K67" s="180"/>
      <x:c r="L67" s="165"/>
      <x:c r="M67" s="181"/>
      <x:c r="N67" s="169"/>
    </x:row>
    <x:row r="68">
      <x:c r="A68" s="164"/>
      <x:c r="B68" s="165"/>
      <x:c r="C68" s="165"/>
      <x:c r="D68" s="165"/>
      <x:c r="E68" s="165"/>
      <x:c r="F68" s="165"/>
      <x:c r="G68" s="165"/>
      <x:c r="H68" s="168"/>
      <x:c r="I68" s="168"/>
      <x:c r="J68" s="168"/>
      <x:c r="K68" s="180"/>
      <x:c r="L68" s="165"/>
      <x:c r="M68" s="181"/>
      <x:c r="N68" s="169"/>
    </x:row>
    <x:row r="69">
      <x:c r="A69" s="164"/>
      <x:c r="B69" s="165"/>
      <x:c r="C69" s="165"/>
      <x:c r="D69" s="165"/>
      <x:c r="E69" s="165"/>
      <x:c r="F69" s="165"/>
      <x:c r="G69" s="165"/>
      <x:c r="H69" s="168"/>
      <x:c r="I69" s="168"/>
      <x:c r="J69" s="168"/>
      <x:c r="K69" s="180"/>
      <x:c r="L69" s="165"/>
      <x:c r="M69" s="181"/>
      <x:c r="N69" s="169"/>
    </x:row>
    <x:row r="70">
      <x:c r="A70" s="164"/>
      <x:c r="B70" s="165"/>
      <x:c r="C70" s="165"/>
      <x:c r="D70" s="165"/>
      <x:c r="E70" s="165"/>
      <x:c r="F70" s="165"/>
      <x:c r="G70" s="165"/>
      <x:c r="H70" s="168"/>
      <x:c r="I70" s="168"/>
      <x:c r="J70" s="168"/>
      <x:c r="K70" s="180"/>
      <x:c r="L70" s="165"/>
      <x:c r="M70" s="181"/>
      <x:c r="N70" s="169"/>
    </x:row>
    <x:row r="71">
      <x:c r="A71" s="164"/>
      <x:c r="B71" s="165"/>
      <x:c r="C71" s="165"/>
      <x:c r="D71" s="165"/>
      <x:c r="E71" s="165"/>
      <x:c r="F71" s="165"/>
      <x:c r="G71" s="165"/>
      <x:c r="H71" s="168"/>
      <x:c r="I71" s="168"/>
      <x:c r="J71" s="168"/>
      <x:c r="K71" s="180"/>
      <x:c r="L71" s="165"/>
      <x:c r="M71" s="181"/>
      <x:c r="N71" s="169"/>
    </x:row>
    <x:row r="72">
      <x:c r="A72" s="164"/>
      <x:c r="B72" s="165"/>
      <x:c r="C72" s="165"/>
      <x:c r="D72" s="165"/>
      <x:c r="E72" s="165"/>
      <x:c r="F72" s="165"/>
      <x:c r="G72" s="165"/>
      <x:c r="H72" s="168"/>
      <x:c r="I72" s="168"/>
      <x:c r="J72" s="168"/>
      <x:c r="K72" s="180"/>
      <x:c r="L72" s="165"/>
      <x:c r="M72" s="181"/>
      <x:c r="N72" s="169"/>
    </x:row>
    <x:row r="73">
      <x:c r="A73" s="164"/>
      <x:c r="B73" s="165"/>
      <x:c r="C73" s="165"/>
      <x:c r="D73" s="165"/>
      <x:c r="E73" s="165"/>
      <x:c r="F73" s="165"/>
      <x:c r="G73" s="165"/>
      <x:c r="H73" s="168"/>
      <x:c r="I73" s="168"/>
      <x:c r="J73" s="168"/>
      <x:c r="K73" s="180"/>
      <x:c r="L73" s="165"/>
      <x:c r="M73" s="181"/>
      <x:c r="N73" s="169"/>
    </x:row>
    <x:row r="74">
      <x:c r="A74" s="164"/>
      <x:c r="B74" s="165"/>
      <x:c r="C74" s="165"/>
      <x:c r="D74" s="165"/>
      <x:c r="E74" s="165"/>
      <x:c r="F74" s="165"/>
      <x:c r="G74" s="165"/>
      <x:c r="H74" s="168"/>
      <x:c r="I74" s="168"/>
      <x:c r="J74" s="168"/>
      <x:c r="K74" s="180"/>
      <x:c r="L74" s="165"/>
      <x:c r="M74" s="181"/>
      <x:c r="N74" s="169"/>
    </x:row>
    <x:row r="75">
      <x:c r="A75" s="164"/>
      <x:c r="B75" s="165"/>
      <x:c r="C75" s="165"/>
      <x:c r="D75" s="165"/>
      <x:c r="E75" s="165"/>
      <x:c r="F75" s="165"/>
      <x:c r="G75" s="165"/>
      <x:c r="H75" s="168"/>
      <x:c r="I75" s="168"/>
      <x:c r="J75" s="168"/>
      <x:c r="K75" s="180"/>
      <x:c r="L75" s="165"/>
      <x:c r="M75" s="181"/>
      <x:c r="N75" s="169"/>
    </x:row>
    <x:row r="76">
      <x:c r="A76" s="164"/>
      <x:c r="B76" s="165"/>
      <x:c r="C76" s="165"/>
      <x:c r="D76" s="165"/>
      <x:c r="E76" s="165"/>
      <x:c r="F76" s="165"/>
      <x:c r="G76" s="165"/>
      <x:c r="H76" s="168"/>
      <x:c r="I76" s="168"/>
      <x:c r="J76" s="168"/>
      <x:c r="K76" s="180"/>
      <x:c r="L76" s="165"/>
      <x:c r="M76" s="181"/>
      <x:c r="N76" s="169"/>
    </x:row>
    <x:row r="77">
      <x:c r="A77" s="164"/>
      <x:c r="B77" s="165"/>
      <x:c r="C77" s="165"/>
      <x:c r="D77" s="165"/>
      <x:c r="E77" s="165"/>
      <x:c r="F77" s="165"/>
      <x:c r="G77" s="165"/>
      <x:c r="H77" s="168"/>
      <x:c r="I77" s="168"/>
      <x:c r="J77" s="168"/>
      <x:c r="K77" s="180"/>
      <x:c r="L77" s="165"/>
      <x:c r="M77" s="181"/>
      <x:c r="N77" s="169"/>
    </x:row>
    <x:row r="78">
      <x:c r="A78" s="164"/>
      <x:c r="B78" s="165"/>
      <x:c r="C78" s="165"/>
      <x:c r="D78" s="165"/>
      <x:c r="E78" s="165"/>
      <x:c r="F78" s="165"/>
      <x:c r="G78" s="165"/>
      <x:c r="H78" s="168"/>
      <x:c r="I78" s="168"/>
      <x:c r="J78" s="168"/>
      <x:c r="K78" s="180"/>
      <x:c r="L78" s="165"/>
      <x:c r="M78" s="181"/>
      <x:c r="N78" s="169"/>
    </x:row>
    <x:row r="79">
      <x:c r="A79" s="164"/>
      <x:c r="B79" s="165"/>
      <x:c r="C79" s="165"/>
      <x:c r="D79" s="165"/>
      <x:c r="E79" s="165"/>
      <x:c r="F79" s="165"/>
      <x:c r="G79" s="165"/>
      <x:c r="H79" s="168"/>
      <x:c r="I79" s="168"/>
      <x:c r="J79" s="168"/>
      <x:c r="K79" s="180"/>
      <x:c r="L79" s="165"/>
      <x:c r="M79" s="181"/>
      <x:c r="N79" s="169"/>
    </x:row>
    <x:row r="80">
      <x:c r="A80" s="164"/>
      <x:c r="B80" s="165"/>
      <x:c r="C80" s="165"/>
      <x:c r="D80" s="165"/>
      <x:c r="E80" s="165"/>
      <x:c r="F80" s="165"/>
      <x:c r="G80" s="165"/>
      <x:c r="H80" s="168"/>
      <x:c r="I80" s="168"/>
      <x:c r="J80" s="168"/>
      <x:c r="K80" s="180"/>
      <x:c r="L80" s="165"/>
      <x:c r="M80" s="181"/>
      <x:c r="N80" s="169"/>
    </x:row>
    <x:row r="81">
      <x:c r="A81" s="164"/>
      <x:c r="B81" s="165"/>
      <x:c r="C81" s="165"/>
      <x:c r="D81" s="165"/>
      <x:c r="E81" s="165"/>
      <x:c r="F81" s="165"/>
      <x:c r="G81" s="165"/>
      <x:c r="H81" s="168"/>
      <x:c r="I81" s="168"/>
      <x:c r="J81" s="168"/>
      <x:c r="K81" s="180"/>
      <x:c r="L81" s="165"/>
      <x:c r="M81" s="181"/>
      <x:c r="N81" s="169"/>
    </x:row>
    <x:row r="82">
      <x:c r="A82" s="164"/>
      <x:c r="B82" s="165"/>
      <x:c r="C82" s="165"/>
      <x:c r="D82" s="165"/>
      <x:c r="E82" s="165"/>
      <x:c r="F82" s="165"/>
      <x:c r="G82" s="165"/>
      <x:c r="H82" s="168"/>
      <x:c r="I82" s="168"/>
      <x:c r="J82" s="168"/>
      <x:c r="K82" s="180"/>
      <x:c r="L82" s="165"/>
      <x:c r="M82" s="181"/>
      <x:c r="N82" s="169"/>
    </x:row>
    <x:row r="83">
      <x:c r="A83" s="164"/>
      <x:c r="B83" s="165"/>
      <x:c r="C83" s="165"/>
      <x:c r="D83" s="165"/>
      <x:c r="E83" s="165"/>
      <x:c r="F83" s="165"/>
      <x:c r="G83" s="165"/>
      <x:c r="H83" s="168"/>
      <x:c r="I83" s="168"/>
      <x:c r="J83" s="168"/>
      <x:c r="K83" s="180"/>
      <x:c r="L83" s="165"/>
      <x:c r="M83" s="181"/>
      <x:c r="N83" s="169"/>
    </x:row>
    <x:row r="84">
      <x:c r="A84" s="164"/>
      <x:c r="B84" s="165"/>
      <x:c r="C84" s="165"/>
      <x:c r="D84" s="165"/>
      <x:c r="E84" s="165"/>
      <x:c r="F84" s="165"/>
      <x:c r="G84" s="165"/>
      <x:c r="H84" s="168"/>
      <x:c r="I84" s="168"/>
      <x:c r="J84" s="168"/>
      <x:c r="K84" s="180"/>
      <x:c r="L84" s="165"/>
      <x:c r="M84" s="181"/>
      <x:c r="N84" s="169"/>
    </x:row>
    <x:row r="85">
      <x:c r="A85" s="164"/>
      <x:c r="B85" s="165"/>
      <x:c r="C85" s="165"/>
      <x:c r="D85" s="165"/>
      <x:c r="E85" s="165"/>
      <x:c r="F85" s="165"/>
      <x:c r="G85" s="165"/>
      <x:c r="H85" s="168"/>
      <x:c r="I85" s="168"/>
      <x:c r="J85" s="168"/>
      <x:c r="K85" s="180"/>
      <x:c r="L85" s="165"/>
      <x:c r="M85" s="181"/>
      <x:c r="N85" s="169"/>
    </x:row>
    <x:row r="86">
      <x:c r="A86" s="164"/>
      <x:c r="B86" s="165"/>
      <x:c r="C86" s="165"/>
      <x:c r="D86" s="165"/>
      <x:c r="E86" s="165"/>
      <x:c r="F86" s="165"/>
      <x:c r="G86" s="165"/>
      <x:c r="H86" s="168"/>
      <x:c r="I86" s="168"/>
      <x:c r="J86" s="168"/>
      <x:c r="K86" s="180"/>
      <x:c r="L86" s="165"/>
      <x:c r="M86" s="181"/>
      <x:c r="N86" s="169"/>
    </x:row>
    <x:row r="87">
      <x:c r="A87" s="164"/>
      <x:c r="B87" s="165"/>
      <x:c r="C87" s="165"/>
      <x:c r="D87" s="165"/>
      <x:c r="E87" s="165"/>
      <x:c r="F87" s="165"/>
      <x:c r="G87" s="165"/>
      <x:c r="H87" s="168"/>
      <x:c r="I87" s="168"/>
      <x:c r="J87" s="168"/>
      <x:c r="K87" s="180"/>
      <x:c r="L87" s="165"/>
      <x:c r="M87" s="181"/>
      <x:c r="N87" s="169"/>
    </x:row>
    <x:row r="88">
      <x:c r="A88" s="164"/>
      <x:c r="B88" s="165"/>
      <x:c r="C88" s="165"/>
      <x:c r="D88" s="165"/>
      <x:c r="E88" s="165"/>
      <x:c r="F88" s="165"/>
      <x:c r="G88" s="165"/>
      <x:c r="H88" s="168"/>
      <x:c r="I88" s="168"/>
      <x:c r="J88" s="168"/>
      <x:c r="K88" s="180"/>
      <x:c r="L88" s="165"/>
      <x:c r="M88" s="181"/>
      <x:c r="N88" s="169"/>
    </x:row>
    <x:row r="89">
      <x:c r="A89" s="164"/>
      <x:c r="B89" s="165"/>
      <x:c r="C89" s="165"/>
      <x:c r="D89" s="165"/>
      <x:c r="E89" s="165"/>
      <x:c r="F89" s="165"/>
      <x:c r="G89" s="165"/>
      <x:c r="H89" s="168"/>
      <x:c r="I89" s="168"/>
      <x:c r="J89" s="168"/>
      <x:c r="K89" s="180"/>
      <x:c r="L89" s="165"/>
      <x:c r="M89" s="181"/>
      <x:c r="N89" s="169"/>
    </x:row>
    <x:row r="90">
      <x:c r="A90" s="164"/>
      <x:c r="B90" s="165"/>
      <x:c r="C90" s="165"/>
      <x:c r="D90" s="165"/>
      <x:c r="E90" s="165"/>
      <x:c r="F90" s="165"/>
      <x:c r="G90" s="165"/>
      <x:c r="H90" s="168"/>
      <x:c r="I90" s="168"/>
      <x:c r="J90" s="168"/>
      <x:c r="K90" s="180"/>
      <x:c r="L90" s="165"/>
      <x:c r="M90" s="181"/>
      <x:c r="N90" s="169"/>
    </x:row>
    <x:row r="91">
      <x:c r="A91" s="164"/>
      <x:c r="B91" s="165"/>
      <x:c r="C91" s="165"/>
      <x:c r="D91" s="165"/>
      <x:c r="E91" s="165"/>
      <x:c r="F91" s="165"/>
      <x:c r="G91" s="165"/>
      <x:c r="H91" s="168"/>
      <x:c r="I91" s="168"/>
      <x:c r="J91" s="168"/>
      <x:c r="K91" s="180"/>
      <x:c r="L91" s="165"/>
      <x:c r="M91" s="181"/>
      <x:c r="N91" s="169"/>
    </x:row>
    <x:row r="92">
      <x:c r="A92" s="164"/>
      <x:c r="B92" s="165"/>
      <x:c r="C92" s="165"/>
      <x:c r="D92" s="165"/>
      <x:c r="E92" s="165"/>
      <x:c r="F92" s="165"/>
      <x:c r="G92" s="165"/>
      <x:c r="H92" s="168"/>
      <x:c r="I92" s="168"/>
      <x:c r="J92" s="168"/>
      <x:c r="K92" s="180"/>
      <x:c r="L92" s="165"/>
      <x:c r="M92" s="181"/>
      <x:c r="N92" s="169"/>
    </x:row>
    <x:row r="93">
      <x:c r="A93" s="164"/>
      <x:c r="B93" s="165"/>
      <x:c r="C93" s="165"/>
      <x:c r="D93" s="165"/>
      <x:c r="E93" s="165"/>
      <x:c r="F93" s="165"/>
      <x:c r="G93" s="165"/>
      <x:c r="H93" s="168"/>
      <x:c r="I93" s="168"/>
      <x:c r="J93" s="168"/>
      <x:c r="K93" s="180"/>
      <x:c r="L93" s="165"/>
      <x:c r="M93" s="181"/>
      <x:c r="N93" s="169"/>
    </x:row>
    <x:row r="94">
      <x:c r="A94" s="164"/>
      <x:c r="B94" s="165"/>
      <x:c r="C94" s="165"/>
      <x:c r="D94" s="165"/>
      <x:c r="E94" s="165"/>
      <x:c r="F94" s="165"/>
      <x:c r="G94" s="165"/>
      <x:c r="H94" s="168"/>
      <x:c r="I94" s="168"/>
      <x:c r="J94" s="168"/>
      <x:c r="K94" s="180"/>
      <x:c r="L94" s="165"/>
      <x:c r="M94" s="181"/>
      <x:c r="N94" s="169"/>
    </x:row>
    <x:row r="95">
      <x:c r="A95" s="164"/>
      <x:c r="B95" s="165"/>
      <x:c r="C95" s="165"/>
      <x:c r="D95" s="165"/>
      <x:c r="E95" s="165"/>
      <x:c r="F95" s="165"/>
      <x:c r="G95" s="165"/>
      <x:c r="H95" s="168"/>
      <x:c r="I95" s="168"/>
      <x:c r="J95" s="168"/>
      <x:c r="K95" s="180"/>
      <x:c r="L95" s="165"/>
      <x:c r="M95" s="181"/>
      <x:c r="N95" s="169"/>
    </x:row>
    <x:row r="96">
      <x:c r="A96" s="164"/>
      <x:c r="B96" s="165"/>
      <x:c r="C96" s="165"/>
      <x:c r="D96" s="165"/>
      <x:c r="E96" s="165"/>
      <x:c r="F96" s="165"/>
      <x:c r="G96" s="165"/>
      <x:c r="H96" s="168"/>
      <x:c r="I96" s="168"/>
      <x:c r="J96" s="168"/>
      <x:c r="K96" s="180"/>
      <x:c r="L96" s="165"/>
      <x:c r="M96" s="181"/>
      <x:c r="N96" s="169"/>
    </x:row>
    <x:row r="97">
      <x:c r="A97" s="164"/>
      <x:c r="B97" s="165"/>
      <x:c r="C97" s="165"/>
      <x:c r="D97" s="165"/>
      <x:c r="E97" s="165"/>
      <x:c r="F97" s="165"/>
      <x:c r="G97" s="165"/>
      <x:c r="H97" s="168"/>
      <x:c r="I97" s="168"/>
      <x:c r="J97" s="168"/>
      <x:c r="K97" s="180"/>
      <x:c r="L97" s="165"/>
      <x:c r="M97" s="181"/>
      <x:c r="N97" s="169"/>
    </x:row>
    <x:row r="98">
      <x:c r="A98" s="164"/>
      <x:c r="B98" s="165"/>
      <x:c r="C98" s="165"/>
      <x:c r="D98" s="165"/>
      <x:c r="E98" s="165"/>
      <x:c r="F98" s="165"/>
      <x:c r="G98" s="165"/>
      <x:c r="H98" s="168"/>
      <x:c r="I98" s="168"/>
      <x:c r="J98" s="168"/>
      <x:c r="K98" s="180"/>
      <x:c r="L98" s="165"/>
      <x:c r="M98" s="181"/>
      <x:c r="N98" s="169"/>
    </x:row>
    <x:row r="99">
      <x:c r="A99" s="164"/>
      <x:c r="B99" s="165"/>
      <x:c r="C99" s="165"/>
      <x:c r="D99" s="165"/>
      <x:c r="E99" s="165"/>
      <x:c r="F99" s="165"/>
      <x:c r="G99" s="165"/>
      <x:c r="H99" s="168"/>
      <x:c r="I99" s="168"/>
      <x:c r="J99" s="168"/>
      <x:c r="K99" s="180"/>
      <x:c r="L99" s="165"/>
      <x:c r="M99" s="181"/>
      <x:c r="N99" s="169"/>
    </x:row>
    <x:row r="100">
      <x:c r="A100" s="164"/>
      <x:c r="B100" s="165"/>
      <x:c r="C100" s="165"/>
      <x:c r="D100" s="165"/>
      <x:c r="E100" s="165"/>
      <x:c r="F100" s="165"/>
      <x:c r="G100" s="165"/>
      <x:c r="H100" s="168"/>
      <x:c r="I100" s="168"/>
      <x:c r="J100" s="168"/>
      <x:c r="K100" s="180"/>
      <x:c r="L100" s="165"/>
      <x:c r="M100" s="181"/>
      <x:c r="N100" s="169"/>
    </x:row>
    <x:row r="101">
      <x:c r="A101" s="164"/>
      <x:c r="B101" s="165"/>
      <x:c r="C101" s="165"/>
      <x:c r="D101" s="165"/>
      <x:c r="E101" s="165"/>
      <x:c r="F101" s="165"/>
      <x:c r="G101" s="165"/>
      <x:c r="H101" s="168"/>
      <x:c r="I101" s="168"/>
      <x:c r="J101" s="168"/>
      <x:c r="K101" s="180"/>
      <x:c r="L101" s="165"/>
      <x:c r="M101" s="181"/>
      <x:c r="N101" s="169"/>
    </x:row>
    <x:row r="102">
      <x:c r="A102" s="164"/>
      <x:c r="B102" s="165"/>
      <x:c r="C102" s="165"/>
      <x:c r="D102" s="165"/>
      <x:c r="E102" s="165"/>
      <x:c r="F102" s="165"/>
      <x:c r="G102" s="165"/>
      <x:c r="H102" s="168"/>
      <x:c r="I102" s="168"/>
      <x:c r="J102" s="168"/>
      <x:c r="K102" s="180"/>
      <x:c r="L102" s="165"/>
      <x:c r="M102" s="181"/>
      <x:c r="N102" s="169"/>
    </x:row>
    <x:row r="103">
      <x:c r="A103" s="164"/>
      <x:c r="B103" s="165"/>
      <x:c r="C103" s="165"/>
      <x:c r="D103" s="165"/>
      <x:c r="E103" s="165"/>
      <x:c r="F103" s="165"/>
      <x:c r="G103" s="165"/>
      <x:c r="H103" s="168"/>
      <x:c r="I103" s="168"/>
      <x:c r="J103" s="168"/>
      <x:c r="K103" s="180"/>
      <x:c r="L103" s="165"/>
      <x:c r="M103" s="181"/>
      <x:c r="N103" s="169"/>
    </x:row>
    <x:row r="104">
      <x:c r="A104" s="164"/>
      <x:c r="B104" s="165"/>
      <x:c r="C104" s="165"/>
      <x:c r="D104" s="165"/>
      <x:c r="E104" s="165"/>
      <x:c r="F104" s="165"/>
      <x:c r="G104" s="165"/>
      <x:c r="H104" s="168"/>
      <x:c r="I104" s="168"/>
      <x:c r="J104" s="168"/>
      <x:c r="K104" s="180"/>
      <x:c r="L104" s="165"/>
      <x:c r="M104" s="181"/>
      <x:c r="N104" s="169"/>
    </x:row>
    <x:row r="105">
      <x:c r="A105" s="170"/>
      <x:c r="B105" s="171"/>
      <x:c r="C105" s="171"/>
      <x:c r="D105" s="171"/>
      <x:c r="E105" s="171"/>
      <x:c r="F105" s="171"/>
      <x:c r="G105" s="171"/>
      <x:c r="H105" s="174"/>
      <x:c r="I105" s="174"/>
      <x:c r="J105" s="174"/>
      <x:c r="K105" s="182"/>
      <x:c r="L105" s="171"/>
      <x:c r="M105" s="183"/>
      <x:c r="N105" s="175"/>
    </x:row>
  </x:sheetData>
  <x:mergeCells>
    <x:mergeCell ref="A1:N1"/>
    <x:mergeCell ref="A2:N2"/>
    <x:mergeCell ref="A4:N4"/>
  </x:mergeCells>
  <x:dataValidations count="6">
    <x:dataValidation type="list" sqref="C6:C105">
      <x:formula1>"Software Engineer,Data,Product,UX/UI,Business,Cybersecurity,AI/ML,Cloud/DevOps"</x:formula1>
    </x:dataValidation>
    <x:dataValidation type="list" sqref="D6:D105">
      <x:formula1>"Bangkok,Hybrid,Remote,On-site,Thailand"</x:formula1>
    </x:dataValidation>
    <x:dataValidation type="list" sqref="E6:E105">
      <x:formula1>"Careers Page,LinkedIn,JobsDB,Referral,Campus,Event,Other"</x:formula1>
    </x:dataValidation>
    <x:dataValidation type="list" sqref="F6:F105">
      <x:formula1>"Saved,Preparing,Applied,OA / Test,Interview,Offer,Rejected,Withdrawn"</x:formula1>
    </x:dataValidation>
    <x:dataValidation type="list" sqref="G6:G105">
      <x:formula1>"High,Medium,Low"</x:formula1>
    </x:dataValidation>
    <x:dataValidation type="whole" operator="between" sqref="K6:K105">
      <x:formula1>1</x:formula1>
      <x:formula2>10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2" hidden="0" customWidth="1"/>
    <x:col min="3" max="3" width="28" hidden="0" customWidth="1"/>
    <x:col min="4" max="4" width="12" hidden="0" customWidth="1"/>
    <x:col min="5" max="5" width="36" hidden="0" customWidth="1"/>
    <x:col min="6" max="6" width="42" hidden="0" customWidth="1"/>
    <x:col min="7" max="7" width="13" hidden="0" customWidth="1"/>
    <x:col min="8" max="8" width="28" hidden="0" customWidth="1"/>
  </x:cols>
  <x:sheetData>
    <x:row r="1" ht="34" customHeight="1">
      <x:c r="A1" s="176" t="str">
        <x:v>Company Targets</x:v>
      </x:c>
      <x:c r="B1" s="176" t="str">
        <x:v>Company Targets</x:v>
      </x:c>
      <x:c r="C1" s="176" t="str">
        <x:v>Company Targets</x:v>
      </x:c>
      <x:c r="D1" s="176" t="str">
        <x:v>Company Targets</x:v>
      </x:c>
      <x:c r="E1" s="176" t="str">
        <x:v>Company Targets</x:v>
      </x:c>
      <x:c r="F1" s="176" t="str">
        <x:v>Company Targets</x:v>
      </x:c>
      <x:c r="G1" s="176" t="str">
        <x:v>Company Targets</x:v>
      </x:c>
      <x:c r="H1" s="176" t="str">
        <x:v>Company Targets</x:v>
      </x:c>
      <x:c r="I1" s="141"/>
      <x:c r="J1" s="141"/>
      <x:c r="K1" s="141"/>
      <x:c r="L1" s="141"/>
      <x:c r="M1" s="141"/>
      <x:c r="N1" s="141"/>
    </x:row>
    <x:row r="2">
      <x:c r="A2" s="140" t="str">
        <x:v>A practical shortlist for internship hunting in Thai big tech and tech-forward companies.</x:v>
      </x:c>
      <x:c r="B2" s="140" t="str">
        <x:v>A practical shortlist for internship hunting in Thai big tech and tech-forward companies.</x:v>
      </x:c>
      <x:c r="C2" s="140" t="str">
        <x:v>A practical shortlist for internship hunting in Thai big tech and tech-forward companies.</x:v>
      </x:c>
      <x:c r="D2" s="140" t="str">
        <x:v>A practical shortlist for internship hunting in Thai big tech and tech-forward companies.</x:v>
      </x:c>
      <x:c r="E2" s="140" t="str">
        <x:v>A practical shortlist for internship hunting in Thai big tech and tech-forward companies.</x:v>
      </x:c>
      <x:c r="F2" s="140" t="str">
        <x:v>A practical shortlist for internship hunting in Thai big tech and tech-forward companies.</x:v>
      </x:c>
      <x:c r="G2" s="140" t="str">
        <x:v>A practical shortlist for internship hunting in Thai big tech and tech-forward companies.</x:v>
      </x:c>
      <x:c r="H2" s="140" t="str">
        <x:v>A practical shortlist for internship hunting in Thai big tech and tech-forward companies.</x:v>
      </x:c>
      <x:c r="I2" s="140" t="str">
        <x:v>A practical shortlist for internship hunting in Thai big tech and tech-forward companies.</x:v>
      </x:c>
      <x:c r="J2" s="140" t="str">
        <x:v>A practical shortlist for internship hunting in Thai big tech and tech-forward companies.</x:v>
      </x:c>
      <x:c r="K2" s="140" t="str">
        <x:v>A practical shortlist for internship hunting in Thai big tech and tech-forward companies.</x:v>
      </x:c>
      <x:c r="L2" s="140" t="str">
        <x:v>A practical shortlist for internship hunting in Thai big tech and tech-forward companies.</x:v>
      </x:c>
      <x:c r="M2" s="140" t="str">
        <x:v>A practical shortlist for internship hunting in Thai big tech and tech-forward companies.</x:v>
      </x:c>
      <x:c r="N2" s="140" t="str">
        <x:v>A practical shortlist for internship hunting in Thai big tech and tech-forward companies.</x:v>
      </x:c>
    </x:row>
    <x:row r="3">
      <x:c r="A3" s="141"/>
      <x:c r="B3" s="141"/>
      <x:c r="C3" s="141"/>
      <x:c r="D3" s="141"/>
      <x:c r="E3" s="141"/>
      <x:c r="F3" s="141"/>
      <x:c r="G3" s="141"/>
      <x:c r="H3" s="141"/>
      <x:c r="I3" s="141"/>
      <x:c r="J3" s="141"/>
      <x:c r="K3" s="141"/>
      <x:c r="L3" s="141"/>
      <x:c r="M3" s="141"/>
      <x:c r="N3" s="141"/>
    </x:row>
    <x:row r="4">
      <x:c r="A4" s="141"/>
      <x:c r="B4" s="141"/>
      <x:c r="C4" s="141"/>
      <x:c r="D4" s="141"/>
      <x:c r="E4" s="141"/>
      <x:c r="F4" s="141"/>
      <x:c r="G4" s="141"/>
      <x:c r="H4" s="141"/>
      <x:c r="I4" s="141"/>
      <x:c r="J4" s="141"/>
      <x:c r="K4" s="141"/>
      <x:c r="L4" s="141"/>
      <x:c r="M4" s="141"/>
      <x:c r="N4" s="141"/>
    </x:row>
    <x:row r="5">
      <x:c r="A5" s="155" t="str">
        <x:v>Company</x:v>
      </x:c>
      <x:c r="B5" s="156" t="str">
        <x:v>Focus Area</x:v>
      </x:c>
      <x:c r="C5" s="156" t="str">
        <x:v>Target Role</x:v>
      </x:c>
      <x:c r="D5" s="156" t="str">
        <x:v>Priority</x:v>
      </x:c>
      <x:c r="E5" s="156" t="str">
        <x:v>Career Link</x:v>
      </x:c>
      <x:c r="F5" s="156" t="str">
        <x:v>Why it fits</x:v>
      </x:c>
      <x:c r="G5" s="156" t="str">
        <x:v>Last Checked</x:v>
      </x:c>
      <x:c r="H5" s="157" t="str">
        <x:v>Next Action</x:v>
      </x:c>
      <x:c r="I5" s="141"/>
      <x:c r="J5" s="141"/>
      <x:c r="K5" s="141"/>
      <x:c r="L5" s="141"/>
      <x:c r="M5" s="141"/>
      <x:c r="N5" s="141"/>
    </x:row>
    <x:row r="6">
      <x:c r="A6" s="158" t="str">
        <x:v>LINE MAN Wongnai</x:v>
      </x:c>
      <x:c r="B6" s="159" t="str">
        <x:v>Food delivery, marketplace, payments</x:v>
      </x:c>
      <x:c r="C6" s="159" t="str">
        <x:v>Software Engineer / Product</x:v>
      </x:c>
      <x:c r="D6" s="159" t="str">
        <x:v>High</x:v>
      </x:c>
      <x:c r="E6" s="179" t="str">
        <x:v>https://lmwn.com/careers</x:v>
      </x:c>
      <x:c r="F6" s="184" t="str">
        <x:v>High-scale Thai consumer platform</x:v>
      </x:c>
      <x:c r="G6" s="162" t="n">
        <x:v>46213</x:v>
      </x:c>
      <x:c r="H6" s="163" t="str">
        <x:v>Track backend and data roles</x:v>
      </x:c>
      <x:c r="I6" s="141"/>
      <x:c r="J6" s="141"/>
      <x:c r="K6" s="141"/>
      <x:c r="L6" s="141"/>
      <x:c r="M6" s="141"/>
      <x:c r="N6" s="141"/>
    </x:row>
    <x:row r="7">
      <x:c r="A7" s="164" t="str">
        <x:v>Agoda Thailand</x:v>
      </x:c>
      <x:c r="B7" s="165" t="str">
        <x:v>Travel tech, data platform</x:v>
      </x:c>
      <x:c r="C7" s="165" t="str">
        <x:v>Data / Software Engineer</x:v>
      </x:c>
      <x:c r="D7" s="165" t="str">
        <x:v>High</x:v>
      </x:c>
      <x:c r="E7" s="181" t="str">
        <x:v>https://careersatagoda.com</x:v>
      </x:c>
      <x:c r="F7" s="185" t="str">
        <x:v>Strong analytics and engineering culture in Bangkok</x:v>
      </x:c>
      <x:c r="G7" s="168" t="n">
        <x:v>46213</x:v>
      </x:c>
      <x:c r="H7" s="169" t="str">
        <x:v>Prepare SQL and product cases</x:v>
      </x:c>
      <x:c r="I7" s="141"/>
      <x:c r="J7" s="141"/>
      <x:c r="K7" s="141"/>
      <x:c r="L7" s="141"/>
      <x:c r="M7" s="141"/>
      <x:c r="N7" s="141"/>
    </x:row>
    <x:row r="8">
      <x:c r="A8" s="164" t="str">
        <x:v>KBTG</x:v>
      </x:c>
      <x:c r="B8" s="165" t="str">
        <x:v>Banking tech, AI, platform engineering</x:v>
      </x:c>
      <x:c r="C8" s="165" t="str">
        <x:v>AI/ML / Software Engineer</x:v>
      </x:c>
      <x:c r="D8" s="165" t="str">
        <x:v>High</x:v>
      </x:c>
      <x:c r="E8" s="181" t="str">
        <x:v>https://www.kbtg.tech/careers</x:v>
      </x:c>
      <x:c r="F8" s="185" t="str">
        <x:v>Large Thai tech org with applied AI work</x:v>
      </x:c>
      <x:c r="G8" s="168" t="n">
        <x:v>46213</x:v>
      </x:c>
      <x:c r="H8" s="169" t="str">
        <x:v>Follow campus recruiting</x:v>
      </x:c>
      <x:c r="I8" s="141"/>
      <x:c r="J8" s="141"/>
      <x:c r="K8" s="141"/>
      <x:c r="L8" s="141"/>
      <x:c r="M8" s="141"/>
      <x:c r="N8" s="141"/>
    </x:row>
    <x:row r="9">
      <x:c r="A9" s="164" t="str">
        <x:v>Ascend Money / TrueMoney</x:v>
      </x:c>
      <x:c r="B9" s="165" t="str">
        <x:v>Fintech, wallet, payments</x:v>
      </x:c>
      <x:c r="C9" s="165" t="str">
        <x:v>Product / Data / Software Engineer</x:v>
      </x:c>
      <x:c r="D9" s="165" t="str">
        <x:v>High</x:v>
      </x:c>
      <x:c r="E9" s="181" t="str">
        <x:v>https://www.ascendcorp.com/careers</x:v>
      </x:c>
      <x:c r="F9" s="185" t="str">
        <x:v>Fintech exposure and regional scale</x:v>
      </x:c>
      <x:c r="G9" s="168" t="n">
        <x:v>46213</x:v>
      </x:c>
      <x:c r="H9" s="169" t="str">
        <x:v>Ask referral contact</x:v>
      </x:c>
      <x:c r="I9" s="141"/>
      <x:c r="J9" s="141"/>
      <x:c r="K9" s="141"/>
      <x:c r="L9" s="141"/>
      <x:c r="M9" s="141"/>
      <x:c r="N9" s="141"/>
    </x:row>
    <x:row r="10">
      <x:c r="A10" s="164" t="str">
        <x:v>SCB 10X</x:v>
      </x:c>
      <x:c r="B10" s="165" t="str">
        <x:v>Venture, fintech, digital assets</x:v>
      </x:c>
      <x:c r="C10" s="165" t="str">
        <x:v>Product / Venture Tech</x:v>
      </x:c>
      <x:c r="D10" s="165" t="str">
        <x:v>Medium</x:v>
      </x:c>
      <x:c r="E10" s="181" t="str">
        <x:v>https://www.scb10x.com/careers</x:v>
      </x:c>
      <x:c r="F10" s="185" t="str">
        <x:v>Good fit for product plus strategy track</x:v>
      </x:c>
      <x:c r="G10" s="168" t="n">
        <x:v>46213</x:v>
      </x:c>
      <x:c r="H10" s="169" t="str">
        <x:v>Tailor story to innovation</x:v>
      </x:c>
      <x:c r="I10" s="141"/>
      <x:c r="J10" s="141"/>
      <x:c r="K10" s="141"/>
      <x:c r="L10" s="141"/>
      <x:c r="M10" s="141"/>
      <x:c r="N10" s="141"/>
    </x:row>
    <x:row r="11">
      <x:c r="A11" s="164" t="str">
        <x:v>Bitkub</x:v>
      </x:c>
      <x:c r="B11" s="165" t="str">
        <x:v>Digital assets, exchange platform</x:v>
      </x:c>
      <x:c r="C11" s="165" t="str">
        <x:v>Cybersecurity / Data</x:v>
      </x:c>
      <x:c r="D11" s="165" t="str">
        <x:v>Medium</x:v>
      </x:c>
      <x:c r="E11" s="181" t="str">
        <x:v>https://www.bitkub.com/career</x:v>
      </x:c>
      <x:c r="F11" s="185" t="str">
        <x:v>Security and financial platform experience</x:v>
      </x:c>
      <x:c r="G11" s="168" t="n">
        <x:v>46213</x:v>
      </x:c>
      <x:c r="H11" s="169" t="str">
        <x:v>Review compliance basics</x:v>
      </x:c>
      <x:c r="I11" s="141"/>
      <x:c r="J11" s="141"/>
      <x:c r="K11" s="141"/>
      <x:c r="L11" s="141"/>
      <x:c r="M11" s="141"/>
      <x:c r="N11" s="141"/>
    </x:row>
    <x:row r="12">
      <x:c r="A12" s="164" t="str">
        <x:v>Sertis</x:v>
      </x:c>
      <x:c r="B12" s="165" t="str">
        <x:v>AI, machine learning, enterprise data</x:v>
      </x:c>
      <x:c r="C12" s="165" t="str">
        <x:v>AI/ML / Data</x:v>
      </x:c>
      <x:c r="D12" s="165" t="str">
        <x:v>Medium</x:v>
      </x:c>
      <x:c r="E12" s="181" t="str">
        <x:v>https://www.sertiscorp.com/careers</x:v>
      </x:c>
      <x:c r="F12" s="185" t="str">
        <x:v>Strong applied machine learning target</x:v>
      </x:c>
      <x:c r="G12" s="168" t="n">
        <x:v>46213</x:v>
      </x:c>
      <x:c r="H12" s="169" t="str">
        <x:v>Prepare ML portfolio</x:v>
      </x:c>
      <x:c r="I12" s="141"/>
      <x:c r="J12" s="141"/>
      <x:c r="K12" s="141"/>
      <x:c r="L12" s="141"/>
      <x:c r="M12" s="141"/>
      <x:c r="N12" s="141"/>
    </x:row>
    <x:row r="13">
      <x:c r="A13" s="164" t="str">
        <x:v>Central Tech</x:v>
      </x:c>
      <x:c r="B13" s="165" t="str">
        <x:v>Retail tech, ecommerce, cloud</x:v>
      </x:c>
      <x:c r="C13" s="165" t="str">
        <x:v>Cloud/DevOps / Software Engineer</x:v>
      </x:c>
      <x:c r="D13" s="165" t="str">
        <x:v>Medium</x:v>
      </x:c>
      <x:c r="E13" s="181" t="str">
        <x:v>https://www.central.tech/careers</x:v>
      </x:c>
      <x:c r="F13" s="185" t="str">
        <x:v>Retail platform and cloud exposure</x:v>
      </x:c>
      <x:c r="G13" s="168" t="n">
        <x:v>46213</x:v>
      </x:c>
      <x:c r="H13" s="169" t="str">
        <x:v>Check current internship openings</x:v>
      </x:c>
      <x:c r="I13" s="141"/>
      <x:c r="J13" s="141"/>
      <x:c r="K13" s="141"/>
      <x:c r="L13" s="141"/>
      <x:c r="M13" s="141"/>
      <x:c r="N13" s="141"/>
    </x:row>
    <x:row r="14">
      <x:c r="A14" s="164" t="str">
        <x:v>CP Axtra Digital</x:v>
      </x:c>
      <x:c r="B14" s="165" t="str">
        <x:v>Retail, wholesale, digital transformation</x:v>
      </x:c>
      <x:c r="C14" s="165" t="str">
        <x:v>UX/UI / Product / Data</x:v>
      </x:c>
      <x:c r="D14" s="165" t="str">
        <x:v>Medium</x:v>
      </x:c>
      <x:c r="E14" s="181" t="str">
        <x:v>https://www.cpaxtra.com/en/careers</x:v>
      </x:c>
      <x:c r="F14" s="185" t="str">
        <x:v>Useful for retail tech and operations</x:v>
      </x:c>
      <x:c r="G14" s="168" t="n">
        <x:v>46213</x:v>
      </x:c>
      <x:c r="H14" s="169" t="str">
        <x:v>Map roles to portfolio</x:v>
      </x:c>
      <x:c r="I14" s="141"/>
      <x:c r="J14" s="141"/>
      <x:c r="K14" s="141"/>
      <x:c r="L14" s="141"/>
      <x:c r="M14" s="141"/>
      <x:c r="N14" s="141"/>
    </x:row>
    <x:row r="15">
      <x:c r="A15" s="164" t="str">
        <x:v>True Digital Group</x:v>
      </x:c>
      <x:c r="B15" s="165" t="str">
        <x:v>Telecom digital products, platforms</x:v>
      </x:c>
      <x:c r="C15" s="165" t="str">
        <x:v>Software Engineer / Product</x:v>
      </x:c>
      <x:c r="D15" s="165" t="str">
        <x:v>Medium</x:v>
      </x:c>
      <x:c r="E15" s="181" t="str">
        <x:v>https://www.truedigital.com/careers</x:v>
      </x:c>
      <x:c r="F15" s="185" t="str">
        <x:v>Large ecosystem and consumer product work</x:v>
      </x:c>
      <x:c r="G15" s="168" t="n">
        <x:v>46213</x:v>
      </x:c>
      <x:c r="H15" s="169" t="str">
        <x:v>Monitor next intake</x:v>
      </x:c>
      <x:c r="I15" s="141"/>
      <x:c r="J15" s="141"/>
      <x:c r="K15" s="141"/>
      <x:c r="L15" s="141"/>
      <x:c r="M15" s="141"/>
      <x:c r="N15" s="141"/>
    </x:row>
    <x:row r="16">
      <x:c r="A16" s="164"/>
      <x:c r="B16" s="165"/>
      <x:c r="C16" s="165"/>
      <x:c r="D16" s="165"/>
      <x:c r="E16" s="181"/>
      <x:c r="F16" s="185"/>
      <x:c r="G16" s="168"/>
      <x:c r="H16" s="169"/>
      <x:c r="I16" s="141"/>
      <x:c r="J16" s="141"/>
      <x:c r="K16" s="141"/>
      <x:c r="L16" s="141"/>
      <x:c r="M16" s="141"/>
      <x:c r="N16" s="141"/>
    </x:row>
    <x:row r="17">
      <x:c r="A17" s="164"/>
      <x:c r="B17" s="165"/>
      <x:c r="C17" s="165"/>
      <x:c r="D17" s="165"/>
      <x:c r="E17" s="181"/>
      <x:c r="F17" s="185"/>
      <x:c r="G17" s="168"/>
      <x:c r="H17" s="169"/>
      <x:c r="I17" s="141"/>
      <x:c r="J17" s="141"/>
      <x:c r="K17" s="141"/>
      <x:c r="L17" s="141"/>
      <x:c r="M17" s="141"/>
      <x:c r="N17" s="141"/>
    </x:row>
    <x:row r="18">
      <x:c r="A18" s="164"/>
      <x:c r="B18" s="165"/>
      <x:c r="C18" s="165"/>
      <x:c r="D18" s="165"/>
      <x:c r="E18" s="181"/>
      <x:c r="F18" s="185"/>
      <x:c r="G18" s="168"/>
      <x:c r="H18" s="169"/>
      <x:c r="I18" s="141"/>
      <x:c r="J18" s="141"/>
      <x:c r="K18" s="141"/>
      <x:c r="L18" s="141"/>
      <x:c r="M18" s="141"/>
      <x:c r="N18" s="141"/>
    </x:row>
    <x:row r="19">
      <x:c r="A19" s="164"/>
      <x:c r="B19" s="165"/>
      <x:c r="C19" s="165"/>
      <x:c r="D19" s="165"/>
      <x:c r="E19" s="181"/>
      <x:c r="F19" s="185"/>
      <x:c r="G19" s="168"/>
      <x:c r="H19" s="169"/>
      <x:c r="I19" s="141"/>
      <x:c r="J19" s="141"/>
      <x:c r="K19" s="141"/>
      <x:c r="L19" s="141"/>
      <x:c r="M19" s="141"/>
      <x:c r="N19" s="141"/>
    </x:row>
    <x:row r="20">
      <x:c r="A20" s="164"/>
      <x:c r="B20" s="165"/>
      <x:c r="C20" s="165"/>
      <x:c r="D20" s="165"/>
      <x:c r="E20" s="181"/>
      <x:c r="F20" s="185"/>
      <x:c r="G20" s="168"/>
      <x:c r="H20" s="169"/>
      <x:c r="I20" s="141"/>
      <x:c r="J20" s="141"/>
      <x:c r="K20" s="141"/>
      <x:c r="L20" s="141"/>
      <x:c r="M20" s="141"/>
      <x:c r="N20" s="141"/>
    </x:row>
    <x:row r="21">
      <x:c r="A21" s="164"/>
      <x:c r="B21" s="165"/>
      <x:c r="C21" s="165"/>
      <x:c r="D21" s="165"/>
      <x:c r="E21" s="181"/>
      <x:c r="F21" s="185"/>
      <x:c r="G21" s="168"/>
      <x:c r="H21" s="169"/>
      <x:c r="I21" s="141"/>
      <x:c r="J21" s="141"/>
      <x:c r="K21" s="141"/>
      <x:c r="L21" s="141"/>
      <x:c r="M21" s="141"/>
      <x:c r="N21" s="141"/>
    </x:row>
    <x:row r="22">
      <x:c r="A22" s="164"/>
      <x:c r="B22" s="165"/>
      <x:c r="C22" s="165"/>
      <x:c r="D22" s="165"/>
      <x:c r="E22" s="181"/>
      <x:c r="F22" s="185"/>
      <x:c r="G22" s="168"/>
      <x:c r="H22" s="169"/>
      <x:c r="I22" s="141"/>
      <x:c r="J22" s="141"/>
      <x:c r="K22" s="141"/>
      <x:c r="L22" s="141"/>
      <x:c r="M22" s="141"/>
      <x:c r="N22" s="141"/>
    </x:row>
    <x:row r="23">
      <x:c r="A23" s="164"/>
      <x:c r="B23" s="165"/>
      <x:c r="C23" s="165"/>
      <x:c r="D23" s="165"/>
      <x:c r="E23" s="181"/>
      <x:c r="F23" s="185"/>
      <x:c r="G23" s="168"/>
      <x:c r="H23" s="169"/>
      <x:c r="I23" s="141"/>
      <x:c r="J23" s="141"/>
      <x:c r="K23" s="141"/>
      <x:c r="L23" s="141"/>
      <x:c r="M23" s="141"/>
      <x:c r="N23" s="141"/>
    </x:row>
    <x:row r="24">
      <x:c r="A24" s="164"/>
      <x:c r="B24" s="165"/>
      <x:c r="C24" s="165"/>
      <x:c r="D24" s="165"/>
      <x:c r="E24" s="181"/>
      <x:c r="F24" s="185"/>
      <x:c r="G24" s="168"/>
      <x:c r="H24" s="169"/>
      <x:c r="I24" s="141"/>
      <x:c r="J24" s="141"/>
      <x:c r="K24" s="141"/>
      <x:c r="L24" s="141"/>
      <x:c r="M24" s="141"/>
      <x:c r="N24" s="141"/>
    </x:row>
    <x:row r="25">
      <x:c r="A25" s="164"/>
      <x:c r="B25" s="165"/>
      <x:c r="C25" s="165"/>
      <x:c r="D25" s="165"/>
      <x:c r="E25" s="181"/>
      <x:c r="F25" s="185"/>
      <x:c r="G25" s="168"/>
      <x:c r="H25" s="169"/>
      <x:c r="I25" s="141"/>
      <x:c r="J25" s="141"/>
      <x:c r="K25" s="141"/>
      <x:c r="L25" s="141"/>
      <x:c r="M25" s="141"/>
      <x:c r="N25" s="141"/>
    </x:row>
    <x:row r="26">
      <x:c r="A26" s="164"/>
      <x:c r="B26" s="165"/>
      <x:c r="C26" s="165"/>
      <x:c r="D26" s="165"/>
      <x:c r="E26" s="181"/>
      <x:c r="F26" s="185"/>
      <x:c r="G26" s="168"/>
      <x:c r="H26" s="169"/>
      <x:c r="I26" s="141"/>
      <x:c r="J26" s="141"/>
      <x:c r="K26" s="141"/>
      <x:c r="L26" s="141"/>
      <x:c r="M26" s="141"/>
      <x:c r="N26" s="141"/>
    </x:row>
    <x:row r="27">
      <x:c r="A27" s="164"/>
      <x:c r="B27" s="165"/>
      <x:c r="C27" s="165"/>
      <x:c r="D27" s="165"/>
      <x:c r="E27" s="181"/>
      <x:c r="F27" s="185"/>
      <x:c r="G27" s="168"/>
      <x:c r="H27" s="169"/>
      <x:c r="I27" s="141"/>
      <x:c r="J27" s="141"/>
      <x:c r="K27" s="141"/>
      <x:c r="L27" s="141"/>
      <x:c r="M27" s="141"/>
      <x:c r="N27" s="141"/>
    </x:row>
    <x:row r="28">
      <x:c r="A28" s="164"/>
      <x:c r="B28" s="165"/>
      <x:c r="C28" s="165"/>
      <x:c r="D28" s="165"/>
      <x:c r="E28" s="181"/>
      <x:c r="F28" s="185"/>
      <x:c r="G28" s="168"/>
      <x:c r="H28" s="169"/>
      <x:c r="I28" s="141"/>
      <x:c r="J28" s="141"/>
      <x:c r="K28" s="141"/>
      <x:c r="L28" s="141"/>
      <x:c r="M28" s="141"/>
      <x:c r="N28" s="141"/>
    </x:row>
    <x:row r="29">
      <x:c r="A29" s="164"/>
      <x:c r="B29" s="165"/>
      <x:c r="C29" s="165"/>
      <x:c r="D29" s="165"/>
      <x:c r="E29" s="181"/>
      <x:c r="F29" s="185"/>
      <x:c r="G29" s="168"/>
      <x:c r="H29" s="169"/>
      <x:c r="I29" s="141"/>
      <x:c r="J29" s="141"/>
      <x:c r="K29" s="141"/>
      <x:c r="L29" s="141"/>
      <x:c r="M29" s="141"/>
      <x:c r="N29" s="141"/>
    </x:row>
    <x:row r="30">
      <x:c r="A30" s="164"/>
      <x:c r="B30" s="165"/>
      <x:c r="C30" s="165"/>
      <x:c r="D30" s="165"/>
      <x:c r="E30" s="181"/>
      <x:c r="F30" s="185"/>
      <x:c r="G30" s="168"/>
      <x:c r="H30" s="169"/>
      <x:c r="I30" s="141"/>
      <x:c r="J30" s="141"/>
      <x:c r="K30" s="141"/>
      <x:c r="L30" s="141"/>
      <x:c r="M30" s="141"/>
      <x:c r="N30" s="141"/>
    </x:row>
    <x:row r="31">
      <x:c r="A31" s="164"/>
      <x:c r="B31" s="165"/>
      <x:c r="C31" s="165"/>
      <x:c r="D31" s="165"/>
      <x:c r="E31" s="181"/>
      <x:c r="F31" s="185"/>
      <x:c r="G31" s="168"/>
      <x:c r="H31" s="169"/>
      <x:c r="I31" s="141"/>
      <x:c r="J31" s="141"/>
      <x:c r="K31" s="141"/>
      <x:c r="L31" s="141"/>
      <x:c r="M31" s="141"/>
      <x:c r="N31" s="141"/>
    </x:row>
    <x:row r="32">
      <x:c r="A32" s="164"/>
      <x:c r="B32" s="165"/>
      <x:c r="C32" s="165"/>
      <x:c r="D32" s="165"/>
      <x:c r="E32" s="181"/>
      <x:c r="F32" s="185"/>
      <x:c r="G32" s="168"/>
      <x:c r="H32" s="169"/>
      <x:c r="I32" s="141"/>
      <x:c r="J32" s="141"/>
      <x:c r="K32" s="141"/>
      <x:c r="L32" s="141"/>
      <x:c r="M32" s="141"/>
      <x:c r="N32" s="141"/>
    </x:row>
    <x:row r="33">
      <x:c r="A33" s="164"/>
      <x:c r="B33" s="165"/>
      <x:c r="C33" s="165"/>
      <x:c r="D33" s="165"/>
      <x:c r="E33" s="181"/>
      <x:c r="F33" s="185"/>
      <x:c r="G33" s="168"/>
      <x:c r="H33" s="169"/>
      <x:c r="I33" s="141"/>
      <x:c r="J33" s="141"/>
      <x:c r="K33" s="141"/>
      <x:c r="L33" s="141"/>
      <x:c r="M33" s="141"/>
      <x:c r="N33" s="141"/>
    </x:row>
    <x:row r="34">
      <x:c r="A34" s="164"/>
      <x:c r="B34" s="165"/>
      <x:c r="C34" s="165"/>
      <x:c r="D34" s="165"/>
      <x:c r="E34" s="181"/>
      <x:c r="F34" s="185"/>
      <x:c r="G34" s="168"/>
      <x:c r="H34" s="169"/>
      <x:c r="I34" s="141"/>
      <x:c r="J34" s="141"/>
      <x:c r="K34" s="141"/>
      <x:c r="L34" s="141"/>
      <x:c r="M34" s="141"/>
      <x:c r="N34" s="141"/>
    </x:row>
    <x:row r="35">
      <x:c r="A35" s="164"/>
      <x:c r="B35" s="165"/>
      <x:c r="C35" s="165"/>
      <x:c r="D35" s="165"/>
      <x:c r="E35" s="181"/>
      <x:c r="F35" s="185"/>
      <x:c r="G35" s="168"/>
      <x:c r="H35" s="169"/>
      <x:c r="I35" s="141"/>
      <x:c r="J35" s="141"/>
      <x:c r="K35" s="141"/>
      <x:c r="L35" s="141"/>
      <x:c r="M35" s="141"/>
      <x:c r="N35" s="141"/>
    </x:row>
    <x:row r="36">
      <x:c r="A36" s="164"/>
      <x:c r="B36" s="165"/>
      <x:c r="C36" s="165"/>
      <x:c r="D36" s="165"/>
      <x:c r="E36" s="181"/>
      <x:c r="F36" s="185"/>
      <x:c r="G36" s="168"/>
      <x:c r="H36" s="169"/>
      <x:c r="I36" s="141"/>
      <x:c r="J36" s="141"/>
      <x:c r="K36" s="141"/>
      <x:c r="L36" s="141"/>
      <x:c r="M36" s="141"/>
      <x:c r="N36" s="141"/>
    </x:row>
    <x:row r="37">
      <x:c r="A37" s="164"/>
      <x:c r="B37" s="165"/>
      <x:c r="C37" s="165"/>
      <x:c r="D37" s="165"/>
      <x:c r="E37" s="181"/>
      <x:c r="F37" s="185"/>
      <x:c r="G37" s="168"/>
      <x:c r="H37" s="169"/>
      <x:c r="I37" s="141"/>
      <x:c r="J37" s="141"/>
      <x:c r="K37" s="141"/>
      <x:c r="L37" s="141"/>
      <x:c r="M37" s="141"/>
      <x:c r="N37" s="141"/>
    </x:row>
    <x:row r="38">
      <x:c r="A38" s="164"/>
      <x:c r="B38" s="165"/>
      <x:c r="C38" s="165"/>
      <x:c r="D38" s="165"/>
      <x:c r="E38" s="181"/>
      <x:c r="F38" s="185"/>
      <x:c r="G38" s="168"/>
      <x:c r="H38" s="169"/>
      <x:c r="I38" s="141"/>
      <x:c r="J38" s="141"/>
      <x:c r="K38" s="141"/>
      <x:c r="L38" s="141"/>
      <x:c r="M38" s="141"/>
      <x:c r="N38" s="141"/>
    </x:row>
    <x:row r="39">
      <x:c r="A39" s="164"/>
      <x:c r="B39" s="165"/>
      <x:c r="C39" s="165"/>
      <x:c r="D39" s="165"/>
      <x:c r="E39" s="181"/>
      <x:c r="F39" s="185"/>
      <x:c r="G39" s="168"/>
      <x:c r="H39" s="169"/>
      <x:c r="I39" s="141"/>
      <x:c r="J39" s="141"/>
      <x:c r="K39" s="141"/>
      <x:c r="L39" s="141"/>
      <x:c r="M39" s="141"/>
      <x:c r="N39" s="141"/>
    </x:row>
    <x:row r="40">
      <x:c r="A40" s="170"/>
      <x:c r="B40" s="171"/>
      <x:c r="C40" s="171"/>
      <x:c r="D40" s="171"/>
      <x:c r="E40" s="183"/>
      <x:c r="F40" s="186"/>
      <x:c r="G40" s="174"/>
      <x:c r="H40" s="175"/>
      <x:c r="I40" s="141"/>
      <x:c r="J40" s="141"/>
      <x:c r="K40" s="141"/>
      <x:c r="L40" s="141"/>
      <x:c r="M40" s="141"/>
      <x:c r="N40" s="141"/>
    </x:row>
  </x:sheetData>
  <x:mergeCells>
    <x:mergeCell ref="A1:H1"/>
    <x:mergeCell ref="A2:N2"/>
  </x:mergeCells>
  <x:dataValidations count="1">
    <x:dataValidation type="list" sqref="D6:D40">
      <x:formula1>"High,Medium,Low"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4" hidden="0" customWidth="1"/>
    <x:col min="3" max="3" width="24" hidden="0" customWidth="1"/>
    <x:col min="4" max="4" width="14" hidden="0" customWidth="1"/>
    <x:col min="5" max="5" width="14" hidden="0" customWidth="1"/>
    <x:col min="6" max="6" width="14" hidden="0" customWidth="1"/>
    <x:col min="7" max="7" width="12" hidden="0" customWidth="1"/>
    <x:col min="8" max="8" width="42" hidden="0" customWidth="1"/>
  </x:cols>
  <x:sheetData>
    <x:row r="1" ht="34" customHeight="1">
      <x:c r="A1" s="176" t="str">
        <x:v>Networking &amp; Referral Tracker</x:v>
      </x:c>
      <x:c r="B1" s="176" t="str">
        <x:v>Networking &amp; Referral Tracker</x:v>
      </x:c>
      <x:c r="C1" s="176" t="str">
        <x:v>Networking &amp; Referral Tracker</x:v>
      </x:c>
      <x:c r="D1" s="176" t="str">
        <x:v>Networking &amp; Referral Tracker</x:v>
      </x:c>
      <x:c r="E1" s="176" t="str">
        <x:v>Networking &amp; Referral Tracker</x:v>
      </x:c>
      <x:c r="F1" s="176" t="str">
        <x:v>Networking &amp; Referral Tracker</x:v>
      </x:c>
      <x:c r="G1" s="176" t="str">
        <x:v>Networking &amp; Referral Tracker</x:v>
      </x:c>
      <x:c r="H1" s="176" t="str">
        <x:v>Networking &amp; Referral Tracker</x:v>
      </x:c>
      <x:c r="I1" s="141"/>
      <x:c r="J1" s="141"/>
      <x:c r="K1" s="141"/>
      <x:c r="L1" s="141"/>
      <x:c r="M1" s="141"/>
      <x:c r="N1" s="141"/>
    </x:row>
    <x:row r="2">
      <x:c r="A2" s="140" t="str">
        <x:v>Track warm contacts, referral asks, and follow-ups.</x:v>
      </x:c>
      <x:c r="B2" s="140" t="str">
        <x:v>Track warm contacts, referral asks, and follow-ups.</x:v>
      </x:c>
      <x:c r="C2" s="140" t="str">
        <x:v>Track warm contacts, referral asks, and follow-ups.</x:v>
      </x:c>
      <x:c r="D2" s="140" t="str">
        <x:v>Track warm contacts, referral asks, and follow-ups.</x:v>
      </x:c>
      <x:c r="E2" s="140" t="str">
        <x:v>Track warm contacts, referral asks, and follow-ups.</x:v>
      </x:c>
      <x:c r="F2" s="140" t="str">
        <x:v>Track warm contacts, referral asks, and follow-ups.</x:v>
      </x:c>
      <x:c r="G2" s="140" t="str">
        <x:v>Track warm contacts, referral asks, and follow-ups.</x:v>
      </x:c>
      <x:c r="H2" s="140" t="str">
        <x:v>Track warm contacts, referral asks, and follow-ups.</x:v>
      </x:c>
      <x:c r="I2" s="140" t="str">
        <x:v>Track warm contacts, referral asks, and follow-ups.</x:v>
      </x:c>
      <x:c r="J2" s="140" t="str">
        <x:v>Track warm contacts, referral asks, and follow-ups.</x:v>
      </x:c>
      <x:c r="K2" s="140" t="str">
        <x:v>Track warm contacts, referral asks, and follow-ups.</x:v>
      </x:c>
      <x:c r="L2" s="140" t="str">
        <x:v>Track warm contacts, referral asks, and follow-ups.</x:v>
      </x:c>
      <x:c r="M2" s="140" t="str">
        <x:v>Track warm contacts, referral asks, and follow-ups.</x:v>
      </x:c>
      <x:c r="N2" s="140" t="str">
        <x:v>Track warm contacts, referral asks, and follow-ups.</x:v>
      </x:c>
    </x:row>
    <x:row r="3">
      <x:c r="A3" s="141"/>
      <x:c r="B3" s="141"/>
      <x:c r="C3" s="141"/>
      <x:c r="D3" s="141"/>
      <x:c r="E3" s="141"/>
      <x:c r="F3" s="141"/>
      <x:c r="G3" s="141"/>
      <x:c r="H3" s="141"/>
      <x:c r="I3" s="141"/>
      <x:c r="J3" s="141"/>
      <x:c r="K3" s="141"/>
      <x:c r="L3" s="141"/>
      <x:c r="M3" s="141"/>
      <x:c r="N3" s="141"/>
    </x:row>
    <x:row r="4">
      <x:c r="A4" s="141"/>
      <x:c r="B4" s="141"/>
      <x:c r="C4" s="141"/>
      <x:c r="D4" s="141"/>
      <x:c r="E4" s="141"/>
      <x:c r="F4" s="141"/>
      <x:c r="G4" s="141"/>
      <x:c r="H4" s="141"/>
      <x:c r="I4" s="141"/>
      <x:c r="J4" s="141"/>
      <x:c r="K4" s="141"/>
      <x:c r="L4" s="141"/>
      <x:c r="M4" s="141"/>
      <x:c r="N4" s="141"/>
    </x:row>
    <x:row r="5">
      <x:c r="A5" s="155" t="str">
        <x:v>Name</x:v>
      </x:c>
      <x:c r="B5" s="156" t="str">
        <x:v>Company</x:v>
      </x:c>
      <x:c r="C5" s="156" t="str">
        <x:v>Role / Relationship</x:v>
      </x:c>
      <x:c r="D5" s="156" t="str">
        <x:v>Channel</x:v>
      </x:c>
      <x:c r="E5" s="156" t="str">
        <x:v>Contacted Date</x:v>
      </x:c>
      <x:c r="F5" s="156" t="str">
        <x:v>Follow-up Date</x:v>
      </x:c>
      <x:c r="G5" s="156" t="str">
        <x:v>Status</x:v>
      </x:c>
      <x:c r="H5" s="157" t="str">
        <x:v>Notes</x:v>
      </x:c>
      <x:c r="I5" s="141"/>
      <x:c r="J5" s="141"/>
      <x:c r="K5" s="141"/>
      <x:c r="L5" s="141"/>
      <x:c r="M5" s="141"/>
      <x:c r="N5" s="141"/>
    </x:row>
    <x:row r="6">
      <x:c r="A6" s="158" t="str">
        <x:v>Ploy</x:v>
      </x:c>
      <x:c r="B6" s="159" t="str">
        <x:v>LINE MAN Wongnai</x:v>
      </x:c>
      <x:c r="C6" s="159" t="str">
        <x:v>Alumni engineer</x:v>
      </x:c>
      <x:c r="D6" s="159" t="str">
        <x:v>LinkedIn</x:v>
      </x:c>
      <x:c r="E6" s="162" t="n">
        <x:v>46205</x:v>
      </x:c>
      <x:c r="F6" s="162" t="n">
        <x:v>46219</x:v>
      </x:c>
      <x:c r="G6" s="159" t="str">
        <x:v>Warm</x:v>
      </x:c>
      <x:c r="H6" s="163" t="str">
        <x:v>Asked about backend intern team</x:v>
      </x:c>
      <x:c r="I6" s="141"/>
      <x:c r="J6" s="141"/>
      <x:c r="K6" s="141"/>
      <x:c r="L6" s="141"/>
      <x:c r="M6" s="141"/>
      <x:c r="N6" s="141"/>
    </x:row>
    <x:row r="7">
      <x:c r="A7" s="164" t="str">
        <x:v>Somchai</x:v>
      </x:c>
      <x:c r="B7" s="165" t="str">
        <x:v>Ascend Money / TrueMoney</x:v>
      </x:c>
      <x:c r="C7" s="165" t="str">
        <x:v>Friend of friend</x:v>
      </x:c>
      <x:c r="D7" s="165" t="str">
        <x:v>LINE</x:v>
      </x:c>
      <x:c r="E7" s="168" t="n">
        <x:v>46211</x:v>
      </x:c>
      <x:c r="F7" s="168" t="n">
        <x:v>46217</x:v>
      </x:c>
      <x:c r="G7" s="165" t="str">
        <x:v>Warm</x:v>
      </x:c>
      <x:c r="H7" s="169" t="str">
        <x:v>Can review CV</x:v>
      </x:c>
      <x:c r="I7" s="141"/>
      <x:c r="J7" s="141"/>
      <x:c r="K7" s="141"/>
      <x:c r="L7" s="141"/>
      <x:c r="M7" s="141"/>
      <x:c r="N7" s="141"/>
    </x:row>
    <x:row r="8">
      <x:c r="A8" s="164" t="str">
        <x:v>Mint</x:v>
      </x:c>
      <x:c r="B8" s="165" t="str">
        <x:v>SCB 10X</x:v>
      </x:c>
      <x:c r="C8" s="165" t="str">
        <x:v>LinkedIn product contact</x:v>
      </x:c>
      <x:c r="D8" s="165" t="str">
        <x:v>LinkedIn</x:v>
      </x:c>
      <x:c r="E8" s="168" t="n">
        <x:v>46212</x:v>
      </x:c>
      <x:c r="F8" s="168" t="n">
        <x:v>46221</x:v>
      </x:c>
      <x:c r="G8" s="165" t="str">
        <x:v>New</x:v>
      </x:c>
      <x:c r="H8" s="169" t="str">
        <x:v>Send short intro after profile update</x:v>
      </x:c>
      <x:c r="I8" s="141"/>
      <x:c r="J8" s="141"/>
      <x:c r="K8" s="141"/>
      <x:c r="L8" s="141"/>
      <x:c r="M8" s="141"/>
      <x:c r="N8" s="141"/>
    </x:row>
    <x:row r="9">
      <x:c r="A9" s="164" t="str">
        <x:v>Recruiter event</x:v>
      </x:c>
      <x:c r="B9" s="165" t="str">
        <x:v>CP Axtra Digital</x:v>
      </x:c>
      <x:c r="C9" s="165" t="str">
        <x:v>Campus event contact</x:v>
      </x:c>
      <x:c r="D9" s="165" t="str">
        <x:v>Email</x:v>
      </x:c>
      <x:c r="E9" s="168" t="n">
        <x:v>46209</x:v>
      </x:c>
      <x:c r="F9" s="168" t="n">
        <x:v>46222</x:v>
      </x:c>
      <x:c r="G9" s="165" t="str">
        <x:v>Warm</x:v>
      </x:c>
      <x:c r="H9" s="169" t="str">
        <x:v>Follow up with portfolio link</x:v>
      </x:c>
      <x:c r="I9" s="141"/>
      <x:c r="J9" s="141"/>
      <x:c r="K9" s="141"/>
      <x:c r="L9" s="141"/>
      <x:c r="M9" s="141"/>
      <x:c r="N9" s="141"/>
    </x:row>
    <x:row r="10">
      <x:c r="A10" s="164"/>
      <x:c r="B10" s="165"/>
      <x:c r="C10" s="165"/>
      <x:c r="D10" s="165"/>
      <x:c r="E10" s="168"/>
      <x:c r="F10" s="168"/>
      <x:c r="G10" s="165"/>
      <x:c r="H10" s="169"/>
      <x:c r="I10" s="141"/>
      <x:c r="J10" s="141"/>
      <x:c r="K10" s="141"/>
      <x:c r="L10" s="141"/>
      <x:c r="M10" s="141"/>
      <x:c r="N10" s="141"/>
    </x:row>
    <x:row r="11">
      <x:c r="A11" s="164"/>
      <x:c r="B11" s="165"/>
      <x:c r="C11" s="165"/>
      <x:c r="D11" s="165"/>
      <x:c r="E11" s="168"/>
      <x:c r="F11" s="168"/>
      <x:c r="G11" s="165"/>
      <x:c r="H11" s="169"/>
      <x:c r="I11" s="141"/>
      <x:c r="J11" s="141"/>
      <x:c r="K11" s="141"/>
      <x:c r="L11" s="141"/>
      <x:c r="M11" s="141"/>
      <x:c r="N11" s="141"/>
    </x:row>
    <x:row r="12">
      <x:c r="A12" s="164"/>
      <x:c r="B12" s="165"/>
      <x:c r="C12" s="165"/>
      <x:c r="D12" s="165"/>
      <x:c r="E12" s="168"/>
      <x:c r="F12" s="168"/>
      <x:c r="G12" s="165"/>
      <x:c r="H12" s="169"/>
      <x:c r="I12" s="141"/>
      <x:c r="J12" s="141"/>
      <x:c r="K12" s="141"/>
      <x:c r="L12" s="141"/>
      <x:c r="M12" s="141"/>
      <x:c r="N12" s="141"/>
    </x:row>
    <x:row r="13">
      <x:c r="A13" s="164"/>
      <x:c r="B13" s="165"/>
      <x:c r="C13" s="165"/>
      <x:c r="D13" s="165"/>
      <x:c r="E13" s="168"/>
      <x:c r="F13" s="168"/>
      <x:c r="G13" s="165"/>
      <x:c r="H13" s="169"/>
      <x:c r="I13" s="141"/>
      <x:c r="J13" s="141"/>
      <x:c r="K13" s="141"/>
      <x:c r="L13" s="141"/>
      <x:c r="M13" s="141"/>
      <x:c r="N13" s="141"/>
    </x:row>
    <x:row r="14">
      <x:c r="A14" s="164"/>
      <x:c r="B14" s="165"/>
      <x:c r="C14" s="165"/>
      <x:c r="D14" s="165"/>
      <x:c r="E14" s="168"/>
      <x:c r="F14" s="168"/>
      <x:c r="G14" s="165"/>
      <x:c r="H14" s="169"/>
      <x:c r="I14" s="141"/>
      <x:c r="J14" s="141"/>
      <x:c r="K14" s="141"/>
      <x:c r="L14" s="141"/>
      <x:c r="M14" s="141"/>
      <x:c r="N14" s="141"/>
    </x:row>
    <x:row r="15">
      <x:c r="A15" s="164"/>
      <x:c r="B15" s="165"/>
      <x:c r="C15" s="165"/>
      <x:c r="D15" s="165"/>
      <x:c r="E15" s="168"/>
      <x:c r="F15" s="168"/>
      <x:c r="G15" s="165"/>
      <x:c r="H15" s="169"/>
      <x:c r="I15" s="141"/>
      <x:c r="J15" s="141"/>
      <x:c r="K15" s="141"/>
      <x:c r="L15" s="141"/>
      <x:c r="M15" s="141"/>
      <x:c r="N15" s="141"/>
    </x:row>
    <x:row r="16">
      <x:c r="A16" s="164"/>
      <x:c r="B16" s="165"/>
      <x:c r="C16" s="165"/>
      <x:c r="D16" s="165"/>
      <x:c r="E16" s="168"/>
      <x:c r="F16" s="168"/>
      <x:c r="G16" s="165"/>
      <x:c r="H16" s="169"/>
      <x:c r="I16" s="141"/>
      <x:c r="J16" s="141"/>
      <x:c r="K16" s="141"/>
      <x:c r="L16" s="141"/>
      <x:c r="M16" s="141"/>
      <x:c r="N16" s="141"/>
    </x:row>
    <x:row r="17">
      <x:c r="A17" s="164"/>
      <x:c r="B17" s="165"/>
      <x:c r="C17" s="165"/>
      <x:c r="D17" s="165"/>
      <x:c r="E17" s="168"/>
      <x:c r="F17" s="168"/>
      <x:c r="G17" s="165"/>
      <x:c r="H17" s="169"/>
      <x:c r="I17" s="141"/>
      <x:c r="J17" s="141"/>
      <x:c r="K17" s="141"/>
      <x:c r="L17" s="141"/>
      <x:c r="M17" s="141"/>
      <x:c r="N17" s="141"/>
    </x:row>
    <x:row r="18">
      <x:c r="A18" s="164"/>
      <x:c r="B18" s="165"/>
      <x:c r="C18" s="165"/>
      <x:c r="D18" s="165"/>
      <x:c r="E18" s="168"/>
      <x:c r="F18" s="168"/>
      <x:c r="G18" s="165"/>
      <x:c r="H18" s="169"/>
      <x:c r="I18" s="141"/>
      <x:c r="J18" s="141"/>
      <x:c r="K18" s="141"/>
      <x:c r="L18" s="141"/>
      <x:c r="M18" s="141"/>
      <x:c r="N18" s="141"/>
    </x:row>
    <x:row r="19">
      <x:c r="A19" s="164"/>
      <x:c r="B19" s="165"/>
      <x:c r="C19" s="165"/>
      <x:c r="D19" s="165"/>
      <x:c r="E19" s="168"/>
      <x:c r="F19" s="168"/>
      <x:c r="G19" s="165"/>
      <x:c r="H19" s="169"/>
      <x:c r="I19" s="141"/>
      <x:c r="J19" s="141"/>
      <x:c r="K19" s="141"/>
      <x:c r="L19" s="141"/>
      <x:c r="M19" s="141"/>
      <x:c r="N19" s="141"/>
    </x:row>
    <x:row r="20">
      <x:c r="A20" s="164"/>
      <x:c r="B20" s="165"/>
      <x:c r="C20" s="165"/>
      <x:c r="D20" s="165"/>
      <x:c r="E20" s="168"/>
      <x:c r="F20" s="168"/>
      <x:c r="G20" s="165"/>
      <x:c r="H20" s="169"/>
      <x:c r="I20" s="141"/>
      <x:c r="J20" s="141"/>
      <x:c r="K20" s="141"/>
      <x:c r="L20" s="141"/>
      <x:c r="M20" s="141"/>
      <x:c r="N20" s="141"/>
    </x:row>
    <x:row r="21">
      <x:c r="A21" s="164"/>
      <x:c r="B21" s="165"/>
      <x:c r="C21" s="165"/>
      <x:c r="D21" s="165"/>
      <x:c r="E21" s="168"/>
      <x:c r="F21" s="168"/>
      <x:c r="G21" s="165"/>
      <x:c r="H21" s="169"/>
      <x:c r="I21" s="141"/>
      <x:c r="J21" s="141"/>
      <x:c r="K21" s="141"/>
      <x:c r="L21" s="141"/>
      <x:c r="M21" s="141"/>
      <x:c r="N21" s="141"/>
    </x:row>
    <x:row r="22">
      <x:c r="A22" s="164"/>
      <x:c r="B22" s="165"/>
      <x:c r="C22" s="165"/>
      <x:c r="D22" s="165"/>
      <x:c r="E22" s="168"/>
      <x:c r="F22" s="168"/>
      <x:c r="G22" s="165"/>
      <x:c r="H22" s="169"/>
      <x:c r="I22" s="141"/>
      <x:c r="J22" s="141"/>
      <x:c r="K22" s="141"/>
      <x:c r="L22" s="141"/>
      <x:c r="M22" s="141"/>
      <x:c r="N22" s="141"/>
    </x:row>
    <x:row r="23">
      <x:c r="A23" s="164"/>
      <x:c r="B23" s="165"/>
      <x:c r="C23" s="165"/>
      <x:c r="D23" s="165"/>
      <x:c r="E23" s="168"/>
      <x:c r="F23" s="168"/>
      <x:c r="G23" s="165"/>
      <x:c r="H23" s="169"/>
      <x:c r="I23" s="141"/>
      <x:c r="J23" s="141"/>
      <x:c r="K23" s="141"/>
      <x:c r="L23" s="141"/>
      <x:c r="M23" s="141"/>
      <x:c r="N23" s="141"/>
    </x:row>
    <x:row r="24">
      <x:c r="A24" s="164"/>
      <x:c r="B24" s="165"/>
      <x:c r="C24" s="165"/>
      <x:c r="D24" s="165"/>
      <x:c r="E24" s="168"/>
      <x:c r="F24" s="168"/>
      <x:c r="G24" s="165"/>
      <x:c r="H24" s="169"/>
      <x:c r="I24" s="141"/>
      <x:c r="J24" s="141"/>
      <x:c r="K24" s="141"/>
      <x:c r="L24" s="141"/>
      <x:c r="M24" s="141"/>
      <x:c r="N24" s="141"/>
    </x:row>
    <x:row r="25">
      <x:c r="A25" s="164"/>
      <x:c r="B25" s="165"/>
      <x:c r="C25" s="165"/>
      <x:c r="D25" s="165"/>
      <x:c r="E25" s="168"/>
      <x:c r="F25" s="168"/>
      <x:c r="G25" s="165"/>
      <x:c r="H25" s="169"/>
      <x:c r="I25" s="141"/>
      <x:c r="J25" s="141"/>
      <x:c r="K25" s="141"/>
      <x:c r="L25" s="141"/>
      <x:c r="M25" s="141"/>
      <x:c r="N25" s="141"/>
    </x:row>
    <x:row r="26">
      <x:c r="A26" s="164"/>
      <x:c r="B26" s="165"/>
      <x:c r="C26" s="165"/>
      <x:c r="D26" s="165"/>
      <x:c r="E26" s="168"/>
      <x:c r="F26" s="168"/>
      <x:c r="G26" s="165"/>
      <x:c r="H26" s="169"/>
      <x:c r="I26" s="141"/>
      <x:c r="J26" s="141"/>
      <x:c r="K26" s="141"/>
      <x:c r="L26" s="141"/>
      <x:c r="M26" s="141"/>
      <x:c r="N26" s="141"/>
    </x:row>
    <x:row r="27">
      <x:c r="A27" s="164"/>
      <x:c r="B27" s="165"/>
      <x:c r="C27" s="165"/>
      <x:c r="D27" s="165"/>
      <x:c r="E27" s="168"/>
      <x:c r="F27" s="168"/>
      <x:c r="G27" s="165"/>
      <x:c r="H27" s="169"/>
      <x:c r="I27" s="141"/>
      <x:c r="J27" s="141"/>
      <x:c r="K27" s="141"/>
      <x:c r="L27" s="141"/>
      <x:c r="M27" s="141"/>
      <x:c r="N27" s="141"/>
    </x:row>
    <x:row r="28">
      <x:c r="A28" s="164"/>
      <x:c r="B28" s="165"/>
      <x:c r="C28" s="165"/>
      <x:c r="D28" s="165"/>
      <x:c r="E28" s="168"/>
      <x:c r="F28" s="168"/>
      <x:c r="G28" s="165"/>
      <x:c r="H28" s="169"/>
      <x:c r="I28" s="141"/>
      <x:c r="J28" s="141"/>
      <x:c r="K28" s="141"/>
      <x:c r="L28" s="141"/>
      <x:c r="M28" s="141"/>
      <x:c r="N28" s="141"/>
    </x:row>
    <x:row r="29">
      <x:c r="A29" s="164"/>
      <x:c r="B29" s="165"/>
      <x:c r="C29" s="165"/>
      <x:c r="D29" s="165"/>
      <x:c r="E29" s="168"/>
      <x:c r="F29" s="168"/>
      <x:c r="G29" s="165"/>
      <x:c r="H29" s="169"/>
      <x:c r="I29" s="141"/>
      <x:c r="J29" s="141"/>
      <x:c r="K29" s="141"/>
      <x:c r="L29" s="141"/>
      <x:c r="M29" s="141"/>
      <x:c r="N29" s="141"/>
    </x:row>
    <x:row r="30">
      <x:c r="A30" s="164"/>
      <x:c r="B30" s="165"/>
      <x:c r="C30" s="165"/>
      <x:c r="D30" s="165"/>
      <x:c r="E30" s="168"/>
      <x:c r="F30" s="168"/>
      <x:c r="G30" s="165"/>
      <x:c r="H30" s="169"/>
      <x:c r="I30" s="141"/>
      <x:c r="J30" s="141"/>
      <x:c r="K30" s="141"/>
      <x:c r="L30" s="141"/>
      <x:c r="M30" s="141"/>
      <x:c r="N30" s="141"/>
    </x:row>
    <x:row r="31">
      <x:c r="A31" s="164"/>
      <x:c r="B31" s="165"/>
      <x:c r="C31" s="165"/>
      <x:c r="D31" s="165"/>
      <x:c r="E31" s="168"/>
      <x:c r="F31" s="168"/>
      <x:c r="G31" s="165"/>
      <x:c r="H31" s="169"/>
      <x:c r="I31" s="141"/>
      <x:c r="J31" s="141"/>
      <x:c r="K31" s="141"/>
      <x:c r="L31" s="141"/>
      <x:c r="M31" s="141"/>
      <x:c r="N31" s="141"/>
    </x:row>
    <x:row r="32">
      <x:c r="A32" s="164"/>
      <x:c r="B32" s="165"/>
      <x:c r="C32" s="165"/>
      <x:c r="D32" s="165"/>
      <x:c r="E32" s="168"/>
      <x:c r="F32" s="168"/>
      <x:c r="G32" s="165"/>
      <x:c r="H32" s="169"/>
      <x:c r="I32" s="141"/>
      <x:c r="J32" s="141"/>
      <x:c r="K32" s="141"/>
      <x:c r="L32" s="141"/>
      <x:c r="M32" s="141"/>
      <x:c r="N32" s="141"/>
    </x:row>
    <x:row r="33">
      <x:c r="A33" s="164"/>
      <x:c r="B33" s="165"/>
      <x:c r="C33" s="165"/>
      <x:c r="D33" s="165"/>
      <x:c r="E33" s="168"/>
      <x:c r="F33" s="168"/>
      <x:c r="G33" s="165"/>
      <x:c r="H33" s="169"/>
      <x:c r="I33" s="141"/>
      <x:c r="J33" s="141"/>
      <x:c r="K33" s="141"/>
      <x:c r="L33" s="141"/>
      <x:c r="M33" s="141"/>
      <x:c r="N33" s="141"/>
    </x:row>
    <x:row r="34">
      <x:c r="A34" s="164"/>
      <x:c r="B34" s="165"/>
      <x:c r="C34" s="165"/>
      <x:c r="D34" s="165"/>
      <x:c r="E34" s="168"/>
      <x:c r="F34" s="168"/>
      <x:c r="G34" s="165"/>
      <x:c r="H34" s="169"/>
      <x:c r="I34" s="141"/>
      <x:c r="J34" s="141"/>
      <x:c r="K34" s="141"/>
      <x:c r="L34" s="141"/>
      <x:c r="M34" s="141"/>
      <x:c r="N34" s="141"/>
    </x:row>
    <x:row r="35">
      <x:c r="A35" s="164"/>
      <x:c r="B35" s="165"/>
      <x:c r="C35" s="165"/>
      <x:c r="D35" s="165"/>
      <x:c r="E35" s="168"/>
      <x:c r="F35" s="168"/>
      <x:c r="G35" s="165"/>
      <x:c r="H35" s="169"/>
      <x:c r="I35" s="141"/>
      <x:c r="J35" s="141"/>
      <x:c r="K35" s="141"/>
      <x:c r="L35" s="141"/>
      <x:c r="M35" s="141"/>
      <x:c r="N35" s="141"/>
    </x:row>
    <x:row r="36">
      <x:c r="A36" s="164"/>
      <x:c r="B36" s="165"/>
      <x:c r="C36" s="165"/>
      <x:c r="D36" s="165"/>
      <x:c r="E36" s="168"/>
      <x:c r="F36" s="168"/>
      <x:c r="G36" s="165"/>
      <x:c r="H36" s="169"/>
      <x:c r="I36" s="141"/>
      <x:c r="J36" s="141"/>
      <x:c r="K36" s="141"/>
      <x:c r="L36" s="141"/>
      <x:c r="M36" s="141"/>
      <x:c r="N36" s="141"/>
    </x:row>
    <x:row r="37">
      <x:c r="A37" s="164"/>
      <x:c r="B37" s="165"/>
      <x:c r="C37" s="165"/>
      <x:c r="D37" s="165"/>
      <x:c r="E37" s="168"/>
      <x:c r="F37" s="168"/>
      <x:c r="G37" s="165"/>
      <x:c r="H37" s="169"/>
      <x:c r="I37" s="141"/>
      <x:c r="J37" s="141"/>
      <x:c r="K37" s="141"/>
      <x:c r="L37" s="141"/>
      <x:c r="M37" s="141"/>
      <x:c r="N37" s="141"/>
    </x:row>
    <x:row r="38">
      <x:c r="A38" s="164"/>
      <x:c r="B38" s="165"/>
      <x:c r="C38" s="165"/>
      <x:c r="D38" s="165"/>
      <x:c r="E38" s="168"/>
      <x:c r="F38" s="168"/>
      <x:c r="G38" s="165"/>
      <x:c r="H38" s="169"/>
      <x:c r="I38" s="141"/>
      <x:c r="J38" s="141"/>
      <x:c r="K38" s="141"/>
      <x:c r="L38" s="141"/>
      <x:c r="M38" s="141"/>
      <x:c r="N38" s="141"/>
    </x:row>
    <x:row r="39">
      <x:c r="A39" s="164"/>
      <x:c r="B39" s="165"/>
      <x:c r="C39" s="165"/>
      <x:c r="D39" s="165"/>
      <x:c r="E39" s="168"/>
      <x:c r="F39" s="168"/>
      <x:c r="G39" s="165"/>
      <x:c r="H39" s="169"/>
      <x:c r="I39" s="141"/>
      <x:c r="J39" s="141"/>
      <x:c r="K39" s="141"/>
      <x:c r="L39" s="141"/>
      <x:c r="M39" s="141"/>
      <x:c r="N39" s="141"/>
    </x:row>
    <x:row r="40">
      <x:c r="A40" s="164"/>
      <x:c r="B40" s="165"/>
      <x:c r="C40" s="165"/>
      <x:c r="D40" s="165"/>
      <x:c r="E40" s="168"/>
      <x:c r="F40" s="168"/>
      <x:c r="G40" s="165"/>
      <x:c r="H40" s="169"/>
      <x:c r="I40" s="141"/>
      <x:c r="J40" s="141"/>
      <x:c r="K40" s="141"/>
      <x:c r="L40" s="141"/>
      <x:c r="M40" s="141"/>
      <x:c r="N40" s="141"/>
    </x:row>
    <x:row r="41">
      <x:c r="A41" s="164"/>
      <x:c r="B41" s="165"/>
      <x:c r="C41" s="165"/>
      <x:c r="D41" s="165"/>
      <x:c r="E41" s="168"/>
      <x:c r="F41" s="168"/>
      <x:c r="G41" s="165"/>
      <x:c r="H41" s="169"/>
      <x:c r="I41" s="141"/>
      <x:c r="J41" s="141"/>
      <x:c r="K41" s="141"/>
      <x:c r="L41" s="141"/>
      <x:c r="M41" s="141"/>
      <x:c r="N41" s="141"/>
    </x:row>
    <x:row r="42">
      <x:c r="A42" s="164"/>
      <x:c r="B42" s="165"/>
      <x:c r="C42" s="165"/>
      <x:c r="D42" s="165"/>
      <x:c r="E42" s="168"/>
      <x:c r="F42" s="168"/>
      <x:c r="G42" s="165"/>
      <x:c r="H42" s="169"/>
      <x:c r="I42" s="141"/>
      <x:c r="J42" s="141"/>
      <x:c r="K42" s="141"/>
      <x:c r="L42" s="141"/>
      <x:c r="M42" s="141"/>
      <x:c r="N42" s="141"/>
    </x:row>
    <x:row r="43">
      <x:c r="A43" s="164"/>
      <x:c r="B43" s="165"/>
      <x:c r="C43" s="165"/>
      <x:c r="D43" s="165"/>
      <x:c r="E43" s="168"/>
      <x:c r="F43" s="168"/>
      <x:c r="G43" s="165"/>
      <x:c r="H43" s="169"/>
      <x:c r="I43" s="141"/>
      <x:c r="J43" s="141"/>
      <x:c r="K43" s="141"/>
      <x:c r="L43" s="141"/>
      <x:c r="M43" s="141"/>
      <x:c r="N43" s="141"/>
    </x:row>
    <x:row r="44">
      <x:c r="A44" s="164"/>
      <x:c r="B44" s="165"/>
      <x:c r="C44" s="165"/>
      <x:c r="D44" s="165"/>
      <x:c r="E44" s="168"/>
      <x:c r="F44" s="168"/>
      <x:c r="G44" s="165"/>
      <x:c r="H44" s="169"/>
      <x:c r="I44" s="141"/>
      <x:c r="J44" s="141"/>
      <x:c r="K44" s="141"/>
      <x:c r="L44" s="141"/>
      <x:c r="M44" s="141"/>
      <x:c r="N44" s="141"/>
    </x:row>
    <x:row r="45">
      <x:c r="A45" s="164"/>
      <x:c r="B45" s="165"/>
      <x:c r="C45" s="165"/>
      <x:c r="D45" s="165"/>
      <x:c r="E45" s="168"/>
      <x:c r="F45" s="168"/>
      <x:c r="G45" s="165"/>
      <x:c r="H45" s="169"/>
      <x:c r="I45" s="141"/>
      <x:c r="J45" s="141"/>
      <x:c r="K45" s="141"/>
      <x:c r="L45" s="141"/>
      <x:c r="M45" s="141"/>
      <x:c r="N45" s="141"/>
    </x:row>
    <x:row r="46">
      <x:c r="A46" s="164"/>
      <x:c r="B46" s="165"/>
      <x:c r="C46" s="165"/>
      <x:c r="D46" s="165"/>
      <x:c r="E46" s="168"/>
      <x:c r="F46" s="168"/>
      <x:c r="G46" s="165"/>
      <x:c r="H46" s="169"/>
      <x:c r="I46" s="141"/>
      <x:c r="J46" s="141"/>
      <x:c r="K46" s="141"/>
      <x:c r="L46" s="141"/>
      <x:c r="M46" s="141"/>
      <x:c r="N46" s="141"/>
    </x:row>
    <x:row r="47">
      <x:c r="A47" s="164"/>
      <x:c r="B47" s="165"/>
      <x:c r="C47" s="165"/>
      <x:c r="D47" s="165"/>
      <x:c r="E47" s="168"/>
      <x:c r="F47" s="168"/>
      <x:c r="G47" s="165"/>
      <x:c r="H47" s="169"/>
      <x:c r="I47" s="141"/>
      <x:c r="J47" s="141"/>
      <x:c r="K47" s="141"/>
      <x:c r="L47" s="141"/>
      <x:c r="M47" s="141"/>
      <x:c r="N47" s="141"/>
    </x:row>
    <x:row r="48">
      <x:c r="A48" s="164"/>
      <x:c r="B48" s="165"/>
      <x:c r="C48" s="165"/>
      <x:c r="D48" s="165"/>
      <x:c r="E48" s="168"/>
      <x:c r="F48" s="168"/>
      <x:c r="G48" s="165"/>
      <x:c r="H48" s="169"/>
      <x:c r="I48" s="141"/>
      <x:c r="J48" s="141"/>
      <x:c r="K48" s="141"/>
      <x:c r="L48" s="141"/>
      <x:c r="M48" s="141"/>
      <x:c r="N48" s="141"/>
    </x:row>
    <x:row r="49">
      <x:c r="A49" s="164"/>
      <x:c r="B49" s="165"/>
      <x:c r="C49" s="165"/>
      <x:c r="D49" s="165"/>
      <x:c r="E49" s="168"/>
      <x:c r="F49" s="168"/>
      <x:c r="G49" s="165"/>
      <x:c r="H49" s="169"/>
      <x:c r="I49" s="141"/>
      <x:c r="J49" s="141"/>
      <x:c r="K49" s="141"/>
      <x:c r="L49" s="141"/>
      <x:c r="M49" s="141"/>
      <x:c r="N49" s="141"/>
    </x:row>
    <x:row r="50">
      <x:c r="A50" s="164"/>
      <x:c r="B50" s="165"/>
      <x:c r="C50" s="165"/>
      <x:c r="D50" s="165"/>
      <x:c r="E50" s="168"/>
      <x:c r="F50" s="168"/>
      <x:c r="G50" s="165"/>
      <x:c r="H50" s="169"/>
      <x:c r="I50" s="141"/>
      <x:c r="J50" s="141"/>
      <x:c r="K50" s="141"/>
      <x:c r="L50" s="141"/>
      <x:c r="M50" s="141"/>
      <x:c r="N50" s="141"/>
    </x:row>
    <x:row r="51">
      <x:c r="A51" s="164"/>
      <x:c r="B51" s="165"/>
      <x:c r="C51" s="165"/>
      <x:c r="D51" s="165"/>
      <x:c r="E51" s="168"/>
      <x:c r="F51" s="168"/>
      <x:c r="G51" s="165"/>
      <x:c r="H51" s="169"/>
      <x:c r="I51" s="141"/>
      <x:c r="J51" s="141"/>
      <x:c r="K51" s="141"/>
      <x:c r="L51" s="141"/>
      <x:c r="M51" s="141"/>
      <x:c r="N51" s="141"/>
    </x:row>
    <x:row r="52">
      <x:c r="A52" s="164"/>
      <x:c r="B52" s="165"/>
      <x:c r="C52" s="165"/>
      <x:c r="D52" s="165"/>
      <x:c r="E52" s="168"/>
      <x:c r="F52" s="168"/>
      <x:c r="G52" s="165"/>
      <x:c r="H52" s="169"/>
      <x:c r="I52" s="141"/>
      <x:c r="J52" s="141"/>
      <x:c r="K52" s="141"/>
      <x:c r="L52" s="141"/>
      <x:c r="M52" s="141"/>
      <x:c r="N52" s="141"/>
    </x:row>
    <x:row r="53">
      <x:c r="A53" s="164"/>
      <x:c r="B53" s="165"/>
      <x:c r="C53" s="165"/>
      <x:c r="D53" s="165"/>
      <x:c r="E53" s="168"/>
      <x:c r="F53" s="168"/>
      <x:c r="G53" s="165"/>
      <x:c r="H53" s="169"/>
      <x:c r="I53" s="141"/>
      <x:c r="J53" s="141"/>
      <x:c r="K53" s="141"/>
      <x:c r="L53" s="141"/>
      <x:c r="M53" s="141"/>
      <x:c r="N53" s="141"/>
    </x:row>
    <x:row r="54">
      <x:c r="A54" s="164"/>
      <x:c r="B54" s="165"/>
      <x:c r="C54" s="165"/>
      <x:c r="D54" s="165"/>
      <x:c r="E54" s="168"/>
      <x:c r="F54" s="168"/>
      <x:c r="G54" s="165"/>
      <x:c r="H54" s="169"/>
      <x:c r="I54" s="141"/>
      <x:c r="J54" s="141"/>
      <x:c r="K54" s="141"/>
      <x:c r="L54" s="141"/>
      <x:c r="M54" s="141"/>
      <x:c r="N54" s="141"/>
    </x:row>
    <x:row r="55">
      <x:c r="A55" s="164"/>
      <x:c r="B55" s="165"/>
      <x:c r="C55" s="165"/>
      <x:c r="D55" s="165"/>
      <x:c r="E55" s="168"/>
      <x:c r="F55" s="168"/>
      <x:c r="G55" s="165"/>
      <x:c r="H55" s="169"/>
      <x:c r="I55" s="141"/>
      <x:c r="J55" s="141"/>
      <x:c r="K55" s="141"/>
      <x:c r="L55" s="141"/>
      <x:c r="M55" s="141"/>
      <x:c r="N55" s="141"/>
    </x:row>
    <x:row r="56">
      <x:c r="A56" s="164"/>
      <x:c r="B56" s="165"/>
      <x:c r="C56" s="165"/>
      <x:c r="D56" s="165"/>
      <x:c r="E56" s="168"/>
      <x:c r="F56" s="168"/>
      <x:c r="G56" s="165"/>
      <x:c r="H56" s="169"/>
      <x:c r="I56" s="141"/>
      <x:c r="J56" s="141"/>
      <x:c r="K56" s="141"/>
      <x:c r="L56" s="141"/>
      <x:c r="M56" s="141"/>
      <x:c r="N56" s="141"/>
    </x:row>
    <x:row r="57">
      <x:c r="A57" s="164"/>
      <x:c r="B57" s="165"/>
      <x:c r="C57" s="165"/>
      <x:c r="D57" s="165"/>
      <x:c r="E57" s="168"/>
      <x:c r="F57" s="168"/>
      <x:c r="G57" s="165"/>
      <x:c r="H57" s="169"/>
      <x:c r="I57" s="141"/>
      <x:c r="J57" s="141"/>
      <x:c r="K57" s="141"/>
      <x:c r="L57" s="141"/>
      <x:c r="M57" s="141"/>
      <x:c r="N57" s="141"/>
    </x:row>
    <x:row r="58">
      <x:c r="A58" s="164"/>
      <x:c r="B58" s="165"/>
      <x:c r="C58" s="165"/>
      <x:c r="D58" s="165"/>
      <x:c r="E58" s="168"/>
      <x:c r="F58" s="168"/>
      <x:c r="G58" s="165"/>
      <x:c r="H58" s="169"/>
      <x:c r="I58" s="141"/>
      <x:c r="J58" s="141"/>
      <x:c r="K58" s="141"/>
      <x:c r="L58" s="141"/>
      <x:c r="M58" s="141"/>
      <x:c r="N58" s="141"/>
    </x:row>
    <x:row r="59">
      <x:c r="A59" s="164"/>
      <x:c r="B59" s="165"/>
      <x:c r="C59" s="165"/>
      <x:c r="D59" s="165"/>
      <x:c r="E59" s="168"/>
      <x:c r="F59" s="168"/>
      <x:c r="G59" s="165"/>
      <x:c r="H59" s="169"/>
      <x:c r="I59" s="141"/>
      <x:c r="J59" s="141"/>
      <x:c r="K59" s="141"/>
      <x:c r="L59" s="141"/>
      <x:c r="M59" s="141"/>
      <x:c r="N59" s="141"/>
    </x:row>
    <x:row r="60">
      <x:c r="A60" s="164"/>
      <x:c r="B60" s="165"/>
      <x:c r="C60" s="165"/>
      <x:c r="D60" s="165"/>
      <x:c r="E60" s="168"/>
      <x:c r="F60" s="168"/>
      <x:c r="G60" s="165"/>
      <x:c r="H60" s="169"/>
      <x:c r="I60" s="141"/>
      <x:c r="J60" s="141"/>
      <x:c r="K60" s="141"/>
      <x:c r="L60" s="141"/>
      <x:c r="M60" s="141"/>
      <x:c r="N60" s="141"/>
    </x:row>
    <x:row r="61">
      <x:c r="A61" s="164"/>
      <x:c r="B61" s="165"/>
      <x:c r="C61" s="165"/>
      <x:c r="D61" s="165"/>
      <x:c r="E61" s="168"/>
      <x:c r="F61" s="168"/>
      <x:c r="G61" s="165"/>
      <x:c r="H61" s="169"/>
      <x:c r="I61" s="141"/>
      <x:c r="J61" s="141"/>
      <x:c r="K61" s="141"/>
      <x:c r="L61" s="141"/>
      <x:c r="M61" s="141"/>
      <x:c r="N61" s="141"/>
    </x:row>
    <x:row r="62">
      <x:c r="A62" s="164"/>
      <x:c r="B62" s="165"/>
      <x:c r="C62" s="165"/>
      <x:c r="D62" s="165"/>
      <x:c r="E62" s="168"/>
      <x:c r="F62" s="168"/>
      <x:c r="G62" s="165"/>
      <x:c r="H62" s="169"/>
      <x:c r="I62" s="141"/>
      <x:c r="J62" s="141"/>
      <x:c r="K62" s="141"/>
      <x:c r="L62" s="141"/>
      <x:c r="M62" s="141"/>
      <x:c r="N62" s="141"/>
    </x:row>
    <x:row r="63">
      <x:c r="A63" s="164"/>
      <x:c r="B63" s="165"/>
      <x:c r="C63" s="165"/>
      <x:c r="D63" s="165"/>
      <x:c r="E63" s="168"/>
      <x:c r="F63" s="168"/>
      <x:c r="G63" s="165"/>
      <x:c r="H63" s="169"/>
      <x:c r="I63" s="141"/>
      <x:c r="J63" s="141"/>
      <x:c r="K63" s="141"/>
      <x:c r="L63" s="141"/>
      <x:c r="M63" s="141"/>
      <x:c r="N63" s="141"/>
    </x:row>
    <x:row r="64">
      <x:c r="A64" s="164"/>
      <x:c r="B64" s="165"/>
      <x:c r="C64" s="165"/>
      <x:c r="D64" s="165"/>
      <x:c r="E64" s="168"/>
      <x:c r="F64" s="168"/>
      <x:c r="G64" s="165"/>
      <x:c r="H64" s="169"/>
      <x:c r="I64" s="141"/>
      <x:c r="J64" s="141"/>
      <x:c r="K64" s="141"/>
      <x:c r="L64" s="141"/>
      <x:c r="M64" s="141"/>
      <x:c r="N64" s="141"/>
    </x:row>
    <x:row r="65">
      <x:c r="A65" s="164"/>
      <x:c r="B65" s="165"/>
      <x:c r="C65" s="165"/>
      <x:c r="D65" s="165"/>
      <x:c r="E65" s="168"/>
      <x:c r="F65" s="168"/>
      <x:c r="G65" s="165"/>
      <x:c r="H65" s="169"/>
      <x:c r="I65" s="141"/>
      <x:c r="J65" s="141"/>
      <x:c r="K65" s="141"/>
      <x:c r="L65" s="141"/>
      <x:c r="M65" s="141"/>
      <x:c r="N65" s="141"/>
    </x:row>
    <x:row r="66">
      <x:c r="A66" s="164"/>
      <x:c r="B66" s="165"/>
      <x:c r="C66" s="165"/>
      <x:c r="D66" s="165"/>
      <x:c r="E66" s="168"/>
      <x:c r="F66" s="168"/>
      <x:c r="G66" s="165"/>
      <x:c r="H66" s="169"/>
      <x:c r="I66" s="141"/>
      <x:c r="J66" s="141"/>
      <x:c r="K66" s="141"/>
      <x:c r="L66" s="141"/>
      <x:c r="M66" s="141"/>
      <x:c r="N66" s="141"/>
    </x:row>
    <x:row r="67">
      <x:c r="A67" s="164"/>
      <x:c r="B67" s="165"/>
      <x:c r="C67" s="165"/>
      <x:c r="D67" s="165"/>
      <x:c r="E67" s="168"/>
      <x:c r="F67" s="168"/>
      <x:c r="G67" s="165"/>
      <x:c r="H67" s="169"/>
      <x:c r="I67" s="141"/>
      <x:c r="J67" s="141"/>
      <x:c r="K67" s="141"/>
      <x:c r="L67" s="141"/>
      <x:c r="M67" s="141"/>
      <x:c r="N67" s="141"/>
    </x:row>
    <x:row r="68">
      <x:c r="A68" s="164"/>
      <x:c r="B68" s="165"/>
      <x:c r="C68" s="165"/>
      <x:c r="D68" s="165"/>
      <x:c r="E68" s="168"/>
      <x:c r="F68" s="168"/>
      <x:c r="G68" s="165"/>
      <x:c r="H68" s="169"/>
      <x:c r="I68" s="141"/>
      <x:c r="J68" s="141"/>
      <x:c r="K68" s="141"/>
      <x:c r="L68" s="141"/>
      <x:c r="M68" s="141"/>
      <x:c r="N68" s="141"/>
    </x:row>
    <x:row r="69">
      <x:c r="A69" s="164"/>
      <x:c r="B69" s="165"/>
      <x:c r="C69" s="165"/>
      <x:c r="D69" s="165"/>
      <x:c r="E69" s="168"/>
      <x:c r="F69" s="168"/>
      <x:c r="G69" s="165"/>
      <x:c r="H69" s="169"/>
      <x:c r="I69" s="141"/>
      <x:c r="J69" s="141"/>
      <x:c r="K69" s="141"/>
      <x:c r="L69" s="141"/>
      <x:c r="M69" s="141"/>
      <x:c r="N69" s="141"/>
    </x:row>
    <x:row r="70">
      <x:c r="A70" s="164"/>
      <x:c r="B70" s="165"/>
      <x:c r="C70" s="165"/>
      <x:c r="D70" s="165"/>
      <x:c r="E70" s="168"/>
      <x:c r="F70" s="168"/>
      <x:c r="G70" s="165"/>
      <x:c r="H70" s="169"/>
      <x:c r="I70" s="141"/>
      <x:c r="J70" s="141"/>
      <x:c r="K70" s="141"/>
      <x:c r="L70" s="141"/>
      <x:c r="M70" s="141"/>
      <x:c r="N70" s="141"/>
    </x:row>
    <x:row r="71">
      <x:c r="A71" s="164"/>
      <x:c r="B71" s="165"/>
      <x:c r="C71" s="165"/>
      <x:c r="D71" s="165"/>
      <x:c r="E71" s="168"/>
      <x:c r="F71" s="168"/>
      <x:c r="G71" s="165"/>
      <x:c r="H71" s="169"/>
      <x:c r="I71" s="141"/>
      <x:c r="J71" s="141"/>
      <x:c r="K71" s="141"/>
      <x:c r="L71" s="141"/>
      <x:c r="M71" s="141"/>
      <x:c r="N71" s="141"/>
    </x:row>
    <x:row r="72">
      <x:c r="A72" s="164"/>
      <x:c r="B72" s="165"/>
      <x:c r="C72" s="165"/>
      <x:c r="D72" s="165"/>
      <x:c r="E72" s="168"/>
      <x:c r="F72" s="168"/>
      <x:c r="G72" s="165"/>
      <x:c r="H72" s="169"/>
      <x:c r="I72" s="141"/>
      <x:c r="J72" s="141"/>
      <x:c r="K72" s="141"/>
      <x:c r="L72" s="141"/>
      <x:c r="M72" s="141"/>
      <x:c r="N72" s="141"/>
    </x:row>
    <x:row r="73">
      <x:c r="A73" s="164"/>
      <x:c r="B73" s="165"/>
      <x:c r="C73" s="165"/>
      <x:c r="D73" s="165"/>
      <x:c r="E73" s="168"/>
      <x:c r="F73" s="168"/>
      <x:c r="G73" s="165"/>
      <x:c r="H73" s="169"/>
      <x:c r="I73" s="141"/>
      <x:c r="J73" s="141"/>
      <x:c r="K73" s="141"/>
      <x:c r="L73" s="141"/>
      <x:c r="M73" s="141"/>
      <x:c r="N73" s="141"/>
    </x:row>
    <x:row r="74">
      <x:c r="A74" s="164"/>
      <x:c r="B74" s="165"/>
      <x:c r="C74" s="165"/>
      <x:c r="D74" s="165"/>
      <x:c r="E74" s="168"/>
      <x:c r="F74" s="168"/>
      <x:c r="G74" s="165"/>
      <x:c r="H74" s="169"/>
      <x:c r="I74" s="141"/>
      <x:c r="J74" s="141"/>
      <x:c r="K74" s="141"/>
      <x:c r="L74" s="141"/>
      <x:c r="M74" s="141"/>
      <x:c r="N74" s="141"/>
    </x:row>
    <x:row r="75">
      <x:c r="A75" s="164"/>
      <x:c r="B75" s="165"/>
      <x:c r="C75" s="165"/>
      <x:c r="D75" s="165"/>
      <x:c r="E75" s="168"/>
      <x:c r="F75" s="168"/>
      <x:c r="G75" s="165"/>
      <x:c r="H75" s="169"/>
      <x:c r="I75" s="141"/>
      <x:c r="J75" s="141"/>
      <x:c r="K75" s="141"/>
      <x:c r="L75" s="141"/>
      <x:c r="M75" s="141"/>
      <x:c r="N75" s="141"/>
    </x:row>
    <x:row r="76">
      <x:c r="A76" s="164"/>
      <x:c r="B76" s="165"/>
      <x:c r="C76" s="165"/>
      <x:c r="D76" s="165"/>
      <x:c r="E76" s="168"/>
      <x:c r="F76" s="168"/>
      <x:c r="G76" s="165"/>
      <x:c r="H76" s="169"/>
      <x:c r="I76" s="141"/>
      <x:c r="J76" s="141"/>
      <x:c r="K76" s="141"/>
      <x:c r="L76" s="141"/>
      <x:c r="M76" s="141"/>
      <x:c r="N76" s="141"/>
    </x:row>
    <x:row r="77">
      <x:c r="A77" s="164"/>
      <x:c r="B77" s="165"/>
      <x:c r="C77" s="165"/>
      <x:c r="D77" s="165"/>
      <x:c r="E77" s="168"/>
      <x:c r="F77" s="168"/>
      <x:c r="G77" s="165"/>
      <x:c r="H77" s="169"/>
      <x:c r="I77" s="141"/>
      <x:c r="J77" s="141"/>
      <x:c r="K77" s="141"/>
      <x:c r="L77" s="141"/>
      <x:c r="M77" s="141"/>
      <x:c r="N77" s="141"/>
    </x:row>
    <x:row r="78">
      <x:c r="A78" s="164"/>
      <x:c r="B78" s="165"/>
      <x:c r="C78" s="165"/>
      <x:c r="D78" s="165"/>
      <x:c r="E78" s="168"/>
      <x:c r="F78" s="168"/>
      <x:c r="G78" s="165"/>
      <x:c r="H78" s="169"/>
      <x:c r="I78" s="141"/>
      <x:c r="J78" s="141"/>
      <x:c r="K78" s="141"/>
      <x:c r="L78" s="141"/>
      <x:c r="M78" s="141"/>
      <x:c r="N78" s="141"/>
    </x:row>
    <x:row r="79">
      <x:c r="A79" s="164"/>
      <x:c r="B79" s="165"/>
      <x:c r="C79" s="165"/>
      <x:c r="D79" s="165"/>
      <x:c r="E79" s="168"/>
      <x:c r="F79" s="168"/>
      <x:c r="G79" s="165"/>
      <x:c r="H79" s="169"/>
      <x:c r="I79" s="141"/>
      <x:c r="J79" s="141"/>
      <x:c r="K79" s="141"/>
      <x:c r="L79" s="141"/>
      <x:c r="M79" s="141"/>
      <x:c r="N79" s="141"/>
    </x:row>
    <x:row r="80">
      <x:c r="A80" s="170"/>
      <x:c r="B80" s="171"/>
      <x:c r="C80" s="171"/>
      <x:c r="D80" s="171"/>
      <x:c r="E80" s="174"/>
      <x:c r="F80" s="174"/>
      <x:c r="G80" s="171"/>
      <x:c r="H80" s="175"/>
      <x:c r="I80" s="141"/>
      <x:c r="J80" s="141"/>
      <x:c r="K80" s="141"/>
      <x:c r="L80" s="141"/>
      <x:c r="M80" s="141"/>
      <x:c r="N80" s="141"/>
    </x:row>
  </x:sheetData>
  <x:mergeCells>
    <x:mergeCell ref="A1:H1"/>
    <x:mergeCell ref="A2:N2"/>
  </x:mergeCells>
  <x:dataValidations count="1">
    <x:dataValidation type="list" sqref="G6:G80">
      <x:formula1>"New,Warm,Asked,Referred,Closed"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18" hidden="0" customWidth="1"/>
    <x:col min="4" max="4" width="18" hidden="0" customWidth="1"/>
    <x:col min="5" max="5" width="20" hidden="0" customWidth="1"/>
    <x:col min="6" max="6" width="14" hidden="0" customWidth="1"/>
  </x:cols>
  <x:sheetData>
    <x:row r="1">
      <x:c r="A1" s="155" t="str">
        <x:v>Status</x:v>
      </x:c>
      <x:c r="B1" s="156" t="str">
        <x:v>Priority</x:v>
      </x:c>
      <x:c r="C1" s="156" t="str">
        <x:v>Source</x:v>
      </x:c>
      <x:c r="D1" s="156" t="str">
        <x:v>Location / Mode</x:v>
      </x:c>
      <x:c r="E1" s="156" t="str">
        <x:v>Role Type</x:v>
      </x:c>
      <x:c r="F1" s="157" t="str">
        <x:v>Status Order</x:v>
      </x:c>
    </x:row>
    <x:row r="2">
      <x:c r="A2" s="158" t="str">
        <x:v>Saved</x:v>
      </x:c>
      <x:c r="B2" s="159" t="str">
        <x:v>High</x:v>
      </x:c>
      <x:c r="C2" s="159" t="str">
        <x:v>Careers Page</x:v>
      </x:c>
      <x:c r="D2" s="159" t="str">
        <x:v>Bangkok</x:v>
      </x:c>
      <x:c r="E2" s="159" t="str">
        <x:v>Software Engineer</x:v>
      </x:c>
      <x:c r="F2" s="187" t="n">
        <x:v>1</x:v>
      </x:c>
    </x:row>
    <x:row r="3">
      <x:c r="A3" s="164" t="str">
        <x:v>Preparing</x:v>
      </x:c>
      <x:c r="B3" s="165" t="str">
        <x:v>Medium</x:v>
      </x:c>
      <x:c r="C3" s="165" t="str">
        <x:v>LinkedIn</x:v>
      </x:c>
      <x:c r="D3" s="165" t="str">
        <x:v>Hybrid</x:v>
      </x:c>
      <x:c r="E3" s="165" t="str">
        <x:v>Data</x:v>
      </x:c>
      <x:c r="F3" s="188" t="n">
        <x:v>2</x:v>
      </x:c>
    </x:row>
    <x:row r="4">
      <x:c r="A4" s="164" t="str">
        <x:v>Applied</x:v>
      </x:c>
      <x:c r="B4" s="165" t="str">
        <x:v>Low</x:v>
      </x:c>
      <x:c r="C4" s="165" t="str">
        <x:v>JobsDB</x:v>
      </x:c>
      <x:c r="D4" s="165" t="str">
        <x:v>Remote</x:v>
      </x:c>
      <x:c r="E4" s="165" t="str">
        <x:v>Product</x:v>
      </x:c>
      <x:c r="F4" s="188" t="n">
        <x:v>3</x:v>
      </x:c>
    </x:row>
    <x:row r="5">
      <x:c r="A5" s="164" t="str">
        <x:v>OA / Test</x:v>
      </x:c>
      <x:c r="B5" s="165"/>
      <x:c r="C5" s="165" t="str">
        <x:v>Referral</x:v>
      </x:c>
      <x:c r="D5" s="165" t="str">
        <x:v>On-site</x:v>
      </x:c>
      <x:c r="E5" s="165" t="str">
        <x:v>UX/UI</x:v>
      </x:c>
      <x:c r="F5" s="188" t="n">
        <x:v>4</x:v>
      </x:c>
    </x:row>
    <x:row r="6">
      <x:c r="A6" s="164" t="str">
        <x:v>Interview</x:v>
      </x:c>
      <x:c r="B6" s="165"/>
      <x:c r="C6" s="165" t="str">
        <x:v>Campus</x:v>
      </x:c>
      <x:c r="D6" s="165" t="str">
        <x:v>Thailand</x:v>
      </x:c>
      <x:c r="E6" s="165" t="str">
        <x:v>Business</x:v>
      </x:c>
      <x:c r="F6" s="188" t="n">
        <x:v>5</x:v>
      </x:c>
    </x:row>
    <x:row r="7">
      <x:c r="A7" s="164" t="str">
        <x:v>Offer</x:v>
      </x:c>
      <x:c r="B7" s="165"/>
      <x:c r="C7" s="165" t="str">
        <x:v>Event</x:v>
      </x:c>
      <x:c r="D7" s="165"/>
      <x:c r="E7" s="165" t="str">
        <x:v>Cybersecurity</x:v>
      </x:c>
      <x:c r="F7" s="188" t="n">
        <x:v>6</x:v>
      </x:c>
    </x:row>
    <x:row r="8">
      <x:c r="A8" s="164" t="str">
        <x:v>Rejected</x:v>
      </x:c>
      <x:c r="B8" s="165"/>
      <x:c r="C8" s="165" t="str">
        <x:v>Other</x:v>
      </x:c>
      <x:c r="D8" s="165"/>
      <x:c r="E8" s="165" t="str">
        <x:v>AI/ML</x:v>
      </x:c>
      <x:c r="F8" s="188" t="n">
        <x:v>7</x:v>
      </x:c>
    </x:row>
    <x:row r="9">
      <x:c r="A9" s="164" t="str">
        <x:v>Withdrawn</x:v>
      </x:c>
      <x:c r="B9" s="165"/>
      <x:c r="C9" s="165"/>
      <x:c r="D9" s="165"/>
      <x:c r="E9" s="165" t="str">
        <x:v>Cloud/DevOps</x:v>
      </x:c>
      <x:c r="F9" s="188" t="n">
        <x:v>8</x:v>
      </x:c>
    </x:row>
    <x:row r="10">
      <x:c r="A10" s="170"/>
      <x:c r="B10" s="171"/>
      <x:c r="C10" s="171"/>
      <x:c r="D10" s="171"/>
      <x:c r="E10" s="171"/>
      <x:c r="F10" s="189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62" hidden="0" customWidth="1"/>
    <x:col min="3" max="3" width="20" hidden="0" customWidth="1"/>
    <x:col min="4" max="4" width="12" hidden="0" customWidth="1"/>
    <x:col min="5" max="5" width="12" hidden="0" customWidth="1"/>
    <x:col min="6" max="6" width="12" hidden="0" customWidth="1"/>
  </x:cols>
  <x:sheetData>
    <x:row r="1">
      <x:c r="A1" s="176" t="str">
        <x:v>How to use this internship dashboard</x:v>
      </x:c>
      <x:c r="B1" s="176" t="str">
        <x:v>How to use this internship dashboard</x:v>
      </x:c>
      <x:c r="C1" s="176" t="str">
        <x:v>How to use this internship dashboard</x:v>
      </x:c>
      <x:c r="D1" s="176" t="str">
        <x:v>How to use this internship dashboard</x:v>
      </x:c>
      <x:c r="E1" s="176" t="str">
        <x:v>How to use this internship dashboard</x:v>
      </x:c>
      <x:c r="F1" s="176" t="str">
        <x:v>How to use this internship dashboard</x:v>
      </x:c>
    </x:row>
    <x:row r="2">
      <x:c r="A2" s="141"/>
      <x:c r="B2" s="141"/>
      <x:c r="C2" s="141"/>
      <x:c r="D2" s="141"/>
      <x:c r="E2" s="141"/>
      <x:c r="F2" s="141"/>
    </x:row>
    <x:row r="3">
      <x:c r="A3" s="155" t="str">
        <x:v>Step</x:v>
      </x:c>
      <x:c r="B3" s="156" t="str">
        <x:v>What to do</x:v>
      </x:c>
      <x:c r="C3" s="157" t="str">
        <x:v>Where</x:v>
      </x:c>
      <x:c r="D3" s="141"/>
      <x:c r="E3" s="141"/>
      <x:c r="F3" s="141"/>
    </x:row>
    <x:row r="4">
      <x:c r="A4" s="158" t="str">
        <x:v>1</x:v>
      </x:c>
      <x:c r="B4" s="184" t="str">
        <x:v>Add or replace target companies and roles.</x:v>
      </x:c>
      <x:c r="C4" s="187" t="str">
        <x:v>Applications</x:v>
      </x:c>
      <x:c r="D4" s="141"/>
      <x:c r="E4" s="141"/>
      <x:c r="F4" s="141"/>
    </x:row>
    <x:row r="5">
      <x:c r="A5" s="164" t="str">
        <x:v>2</x:v>
      </x:c>
      <x:c r="B5" s="185" t="str">
        <x:v>Keep status, priority, deadline, and next follow-up current.</x:v>
      </x:c>
      <x:c r="C5" s="188" t="str">
        <x:v>Applications</x:v>
      </x:c>
      <x:c r="D5" s="141"/>
      <x:c r="E5" s="141"/>
      <x:c r="F5" s="141"/>
    </x:row>
    <x:row r="6">
      <x:c r="A6" s="164" t="str">
        <x:v>3</x:v>
      </x:c>
      <x:c r="B6" s="185" t="str">
        <x:v>Use Company Targets as a shortlist and research queue.</x:v>
      </x:c>
      <x:c r="C6" s="188" t="str">
        <x:v>Company Targets</x:v>
      </x:c>
      <x:c r="D6" s="141"/>
      <x:c r="E6" s="141"/>
      <x:c r="F6" s="141"/>
    </x:row>
    <x:row r="7">
      <x:c r="A7" s="164" t="str">
        <x:v>4</x:v>
      </x:c>
      <x:c r="B7" s="185" t="str">
        <x:v>Track contacts and referral asks separately from applications.</x:v>
      </x:c>
      <x:c r="C7" s="188" t="str">
        <x:v>Contacts</x:v>
      </x:c>
      <x:c r="D7" s="141"/>
      <x:c r="E7" s="141"/>
      <x:c r="F7" s="141"/>
    </x:row>
    <x:row r="8">
      <x:c r="A8" s="164" t="str">
        <x:v>5</x:v>
      </x:c>
      <x:c r="B8" s="185" t="str">
        <x:v>Use Dashboard every week to decide what to apply to, follow up on, or close.</x:v>
      </x:c>
      <x:c r="C8" s="188" t="str">
        <x:v>Dashboard</x:v>
      </x:c>
      <x:c r="D8" s="141"/>
      <x:c r="E8" s="141"/>
      <x:c r="F8" s="141"/>
    </x:row>
    <x:row r="9">
      <x:c r="A9" s="170" t="str">
        <x:v>Note</x:v>
      </x:c>
      <x:c r="B9" s="186" t="str">
        <x:v>Sample rows are starter examples only. Replace them with live openings you find.</x:v>
      </x:c>
      <x:c r="C9" s="189" t="str">
        <x:v>All sheets</x:v>
      </x:c>
      <x:c r="D9" s="141"/>
      <x:c r="E9" s="141"/>
      <x:c r="F9" s="141"/>
    </x:row>
  </x:sheetData>
  <x:mergeCells>
    <x:mergeCell ref="A1:F1"/>
  </x:mergeCells>
  <x:pageMargins left="0.7" right="0.7" top="0.75" bottom="0.75" header="0.3" footer="0.3"/>
</x:worksheet>
</file>